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기본자료" sheetId="2" state="visible" r:id="rId2"/>
    <sheet name="인턴근무계획" sheetId="3" state="visible" r:id="rId3"/>
    <sheet name="파견수련계획" sheetId="4" state="visible" r:id="rId4"/>
    <sheet name="전공의명단" sheetId="5" state="visible" r:id="rId5"/>
    <sheet name="요약" sheetId="6" state="visible" r:id="rId6"/>
    <sheet name="인턴현황" sheetId="7" state="visible" r:id="rId7"/>
    <sheet name="코드표" sheetId="8" state="visible" r:id="rId8"/>
  </sheets>
  <definedNames>
    <definedName name="_xlnm._FilterDatabase" localSheetId="1" hidden="1">'기본자료'!$A$1:$L$301</definedName>
    <definedName name="_xlnm._FilterDatabase" localSheetId="6" hidden="1">'인턴현황'!$A$5:$Q$65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0000FF"/>
      <sz val="10"/>
    </font>
    <font>
      <name val="맑은 고딕"/>
      <sz val="10"/>
    </font>
    <font>
      <name val="맑은 고딕"/>
      <b val="1"/>
      <sz val="14"/>
    </font>
    <font>
      <name val="맑은 고딕"/>
      <color rgb="007F7F7F"/>
      <sz val="9"/>
    </font>
    <font>
      <name val="맑은 고딕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49" fontId="2" fillId="0" borderId="1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3" borderId="0" pivotButton="0" quotePrefix="0" xfId="0"/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" fontId="3" fillId="4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0" fontId="3" fillId="4" borderId="1" pivotButton="0" quotePrefix="0" xfId="0"/>
    <xf numFmtId="164" fontId="3" fillId="0" borderId="0" pivotButton="0" quotePrefix="0" xfId="0"/>
    <xf numFmtId="0" fontId="2" fillId="5" borderId="0" pivotButton="0" quotePrefix="0" xfId="0"/>
    <xf numFmtId="164" fontId="2" fillId="5" borderId="0" pivotButton="0" quotePrefix="0" xfId="0"/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3">
    <dxf>
      <fill>
        <patternFill patternType="solid">
          <bgColor rgb="00FFC7CE"/>
        </patternFill>
      </fill>
    </dxf>
    <dxf>
      <font>
        <name val="맑은 고딕"/>
        <b val="1"/>
        <color rgb="00C00000"/>
      </font>
      <fill>
        <patternFill patternType="solid">
          <bgColor rgb="00FFC7CE"/>
        </patternFill>
      </fill>
    </dxf>
    <dxf>
      <font>
        <name val="맑은 고딕"/>
        <b val="1"/>
        <color rgb="00C00000"/>
      </font>
    </dxf>
    <dxf>
      <font>
        <name val="맑은 고딕"/>
        <b val="1"/>
        <color rgb="00FFFFFF"/>
      </font>
      <fill>
        <patternFill patternType="solid">
          <bgColor rgb="00FF0000"/>
        </patternFill>
      </fill>
    </dxf>
    <dxf>
      <fill>
        <patternFill patternType="solid">
          <bgColor rgb="00FFC000"/>
        </patternFill>
      </fill>
    </dxf>
    <dxf>
      <font>
        <name val="맑은 고딕"/>
        <b val="1"/>
        <color rgb="00FF0000"/>
      </font>
    </dxf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ont>
        <name val="맑은 고딕"/>
        <color rgb="007F7F7F"/>
      </font>
      <fill>
        <patternFill patternType="solid">
          <bgColor rgb="00D9D9D9"/>
        </patternFill>
      </fill>
    </dxf>
    <dxf>
      <fill>
        <patternFill patternType="solid">
          <bgColor rgb="00F8CBAD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BDD7EE"/>
        </patternFill>
      </fill>
    </dxf>
    <dxf>
      <fill>
        <patternFill patternType="solid">
          <bgColor rgb="00FFFF00"/>
        </patternFill>
      </fill>
    </dxf>
    <dxf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전공의" displayName="전공의" ref="A1:AL61" headerRowCount="1">
  <autoFilter ref="A1:AL61"/>
  <tableColumns count="38">
    <tableColumn id="1" name="번호"/>
    <tableColumn id="2" name="사번"/>
    <tableColumn id="3" name="이름"/>
    <tableColumn id="4" name="성별"/>
    <tableColumn id="5" name="생년월일"/>
    <tableColumn id="6" name="수련과목"/>
    <tableColumn id="7" name="연차"/>
    <tableColumn id="8" name="근무지"/>
    <tableColumn id="9" name="수련개시일"/>
    <tableColumn id="10" name="전공의등록번호"/>
    <tableColumn id="11" name="의사면허번호"/>
    <tableColumn id="12" name="재직여부"/>
    <tableColumn id="13" name="입사장소"/>
    <tableColumn id="14" name="현재 근무병원"/>
    <tableColumn id="15" name="현재 진료과"/>
    <tableColumn id="16" name="파견근거"/>
    <tableColumn id="17" name="파견병원"/>
    <tableColumn id="18" name="파견진료과"/>
    <tableColumn id="19" name="파견시작일"/>
    <tableColumn id="20" name="파견종료일"/>
    <tableColumn id="21" name="파견상태"/>
    <tableColumn id="22" name="파견기간(일)"/>
    <tableColumn id="23" name="종료까지(일)"/>
    <tableColumn id="24" name="급여기준월 파견일수"/>
    <tableColumn id="25" name="급여지급병원(기준월)"/>
    <tableColumn id="26" name="점검"/>
    <tableColumn id="27" name="비고"/>
    <tableColumn id="28" name="기본자료행"/>
    <tableColumn id="29" name="인턴계획행"/>
    <tableColumn id="30" name="인턴 이번달"/>
    <tableColumn id="31" name="소속병원"/>
    <tableColumn id="32" name="파견기록행"/>
    <tableColumn id="33" name="기준월 근무병원"/>
    <tableColumn id="34" name="서울 근무일(기준월)"/>
    <tableColumn id="35" name="구리 근무일(기준월)"/>
    <tableColumn id="36" name="기준월 대표파견행"/>
    <tableColumn id="37" name="다기관 기록행"/>
    <tableColumn id="38" name="다기관(비고 기재 기간)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75" customWidth="1" min="1" max="1"/>
  </cols>
  <sheetData>
    <row r="1">
      <c r="A1" s="1" t="inlineStr">
        <is>
          <t>전공의·인턴 파견 모니터링 사용 안내</t>
        </is>
      </c>
    </row>
    <row r="2">
      <c r="A2" s="2" t="inlineStr"/>
    </row>
    <row r="3">
      <c r="A3" s="3" t="inlineStr">
        <is>
          <t>[전체 흐름]</t>
        </is>
      </c>
    </row>
    <row r="4">
      <c r="A4" s="2" t="inlineStr">
        <is>
          <t>1) 기본자료  2) 인턴근무계획  3) 파견수련계획 — 세 시트에 각 양식 그대로 붙여넣기  4) 전공의명단에 사번·입사장소만 입력  5) 요약·인턴현황에서 확인</t>
        </is>
      </c>
    </row>
    <row r="5">
      <c r="A5" s="2" t="inlineStr"/>
    </row>
    <row r="6">
      <c r="A6" s="3" t="inlineStr">
        <is>
          <t>[기본자료 업로드]</t>
        </is>
      </c>
    </row>
    <row r="7">
      <c r="A7" s="2" t="inlineStr">
        <is>
          <t>• 기본자료 시트 A1:L1 머리글 순서(현재근무 여부·사번·이름·수련과목·연차·근무지·수련개시일·전공의등록번호·의사면허번호·성별·생년월일·비고)로 A2부터 붙여넣으세요. 최대 300명. 열 순서는 유지해야 합니다.</t>
        </is>
      </c>
    </row>
    <row r="8">
      <c r="A8" s="2" t="inlineStr">
        <is>
          <t>• 날짜(수련개시일·생년월일)는 20260301 형식 숫자도 자동으로 날짜로 변환됩니다. 변환이 안 되는 값(예: 19999999)은 빨간 글씨 원문으로 표시되고 요약의 '날짜 형식 오류'에 집계됩니다.</t>
        </is>
      </c>
    </row>
    <row r="9">
      <c r="A9" s="2" t="inlineStr">
        <is>
          <t>• 기본자료 2~9행은 가상 예시입니다. 삭제하고 실제 자료를 붙여넣으세요. 인턴도 올리고 수련과목을 '인턴'으로 적으면 현재 진료과가 수련교육부(인턴)로 표시됩니다.</t>
        </is>
      </c>
    </row>
    <row r="10">
      <c r="A10" s="2" t="inlineStr"/>
    </row>
    <row r="11">
      <c r="A11" s="3" t="inlineStr">
        <is>
          <t>[인턴근무계획 업로드]</t>
        </is>
      </c>
    </row>
    <row r="12">
      <c r="A12" s="2" t="inlineStr">
        <is>
          <t>• 인턴근무계획 시트의 업로드 양식(B1 제목, B2:K2 머리글, 3행부터 자료) 그대로 붙여넣으세요. 최대 60명. 오른쪽 초록 열(M~T)은 자동 정규화 결과이므로 지우지 마세요.</t>
        </is>
      </c>
    </row>
    <row r="13">
      <c r="A13" s="2" t="inlineStr">
        <is>
          <t>• 월 칸은 '지역 진료과'(예: 서울 내과, 서울 산부, 제주 에스중앙 내과)로 읽습니다. 첫 단어=지역(병원 표기표로 정식 병원 변환), 마지막 단어=진료과(약칭표로 정식 명칭 변환). 사이 단어는 무시합니다.</t>
        </is>
      </c>
    </row>
    <row r="14">
      <c r="A14" s="2" t="inlineStr">
        <is>
          <t>• 통합(과 미지정)과 핵방/핵/방(핵의학과+방사선종양학과)은 인턴 전용 구분으로 인정됩니다.</t>
        </is>
      </c>
    </row>
    <row r="15">
      <c r="A15" s="2" t="inlineStr">
        <is>
          <t>• 인턴근무계획에만 있는 내용은 해당 월 1일~말일 근무로 간주합니다(기본값). 비고의 2026.03은 2026년 3월 1일 입사로 해석해 인턴현황 '입사일'에 표시합니다.</t>
        </is>
      </c>
    </row>
    <row r="16">
      <c r="A16" s="2" t="inlineStr"/>
    </row>
    <row r="17">
      <c r="A17" s="3" t="inlineStr">
        <is>
          <t>[파견수련계획 업로드]</t>
        </is>
      </c>
    </row>
    <row r="18">
      <c r="A18" s="2" t="inlineStr">
        <is>
          <t>• 파견수련계획 시트의 양식(1~3행 병합 머리글, 4행부터 자료: 연번·모병원명·수련종별·수련과목·연차·성명·전공의등록번호·파견시작일·파견종료일·파견일수·파견병원·파견과목·파견근거·비고)대로 붙여넣으세요. 최대 80건.</t>
        </is>
      </c>
    </row>
    <row r="19">
      <c r="A19" s="2" t="inlineStr">
        <is>
          <t>• 한 사람이 여러 번 파견되면 행을 여러 개 입력합니다. 전공의명단과는 '전공의등록번호'로 연결됩니다(기본자료의 등록번호와 같아야 함).</t>
        </is>
      </c>
    </row>
    <row r="20">
      <c r="A20" s="2" t="inlineStr">
        <is>
          <t>• 모병원명·파견병원은 코드표의 '병원 표기' 표로 정식 병원(서울병원 등)에 연결됩니다. 표에 없는 기관명(인천·창원·오산 등)은 코드표 J·K열에 추가하세요.</t>
        </is>
      </c>
    </row>
    <row r="21">
      <c r="A21" s="2" t="inlineStr">
        <is>
          <t>• 파견근거는 모자 / 통합수련 / 다기관 입니다. 비고(N열, 또는 O열)에 '다기관'이 들어 있으면 다기관 파견으로 인식합니다. 비고가 '2026.09.01-2026.09.30 다기관 파견'처럼 기간으로 시작하면 그 기간을, 아니면 해당 행의 파견 기간을 다기관 기간으로 봅니다.</t>
        </is>
      </c>
    </row>
    <row r="22">
      <c r="A22" s="2" t="inlineStr">
        <is>
          <t>• 다기관 기간에는 전공의명단 '파견근거'에 다기관으로 표시되고, 오른쪽 끝 '다기관(비고 기재 기간)' 열에 기간이 보입니다. 급여 기준월에 다기관 기간이 걸리면 급여는 소속병원이 지급하는 것으로 계산합니다(가정).</t>
        </is>
      </c>
    </row>
    <row r="23">
      <c r="A23" s="2" t="inlineStr">
        <is>
          <t>• 코드표에 없는 병원·진료과·파견근거를 직접 입력하면 오류 팝업이 뜹니다. 붙여넣기는 엑셀 특성상 팝업이 뜨지 않으므로, 대신 해당 행이 빨갛게 표시되고 오른쪽 '입력 오류' 열과 요약에 집계됩니다.</t>
        </is>
      </c>
    </row>
    <row r="24">
      <c r="A24" s="2" t="inlineStr"/>
    </row>
    <row r="25">
      <c r="A25" s="3" t="inlineStr">
        <is>
          <t>[전공의명단]</t>
        </is>
      </c>
    </row>
    <row r="26">
      <c r="A26" s="2" t="inlineStr">
        <is>
          <t>• 입력은 사번, 입사장소, 비고뿐입니다. 인적사항은 기본자료에서, 파견 정보(파견근거·병원·과·기간·상태)는 파견수련계획에서 자동 연결됩니다(파견중 &gt; 파견예정 &gt; 파견종료 순으로 대표 1건 표시).</t>
        </is>
      </c>
    </row>
    <row r="27">
      <c r="A27" s="2" t="inlineStr">
        <is>
          <t>• 입사장소 = 채용된 병원(구리병원에서 채용해 근무하면 구리병원). 비워 두면 파견수련계획의 모병원명, 그것도 없으면 기본자료 근무지를 사용합니다.</t>
        </is>
      </c>
    </row>
    <row r="28">
      <c r="A28" s="2" t="inlineStr">
        <is>
          <t>• 현재 근무병원/진료과: ①파견중이면 파견병원/파견과목 ②인턴이면 이번 달 근무계획 ③그 외는 기본자료의 근무지/수련과목.</t>
        </is>
      </c>
    </row>
    <row r="29">
      <c r="A29" s="2" t="inlineStr"/>
    </row>
    <row r="30">
      <c r="A30" s="3" t="inlineStr">
        <is>
          <t>[급여지급병원(기준월) 규칙 — 전공의명단 Y열]</t>
        </is>
      </c>
    </row>
    <row r="31">
      <c r="A31" s="2" t="inlineStr">
        <is>
          <t>• 서울병원·구리병원 사이: 소속과 무관하게 급여 기준월에 15일 이상 근무한 병원이 그 달 전체를 한꺼번에 지급합니다. (예: 구리 10일·서울 20일이면 구리 10일치까지 서울병원에서 지급)</t>
        </is>
      </c>
    </row>
    <row r="32">
      <c r="A32" s="2" t="inlineStr">
        <is>
          <t>• 근무일 계산: 파견 기간은 파견병원, 나머지 날은 소속병원(인턴은 해당 월 근무계획 병원)에서 근무한 것으로 봅니다. 양쪽 모두 15일 이상이거나 모두 미만이면 판정할 수 없으므로 급여지급병원 칸에 빨간 ⚠ 오류가 표시되고, 점검 열과 요약에 집계됩니다.</t>
        </is>
      </c>
    </row>
    <row r="33">
      <c r="A33" s="2" t="inlineStr">
        <is>
          <t>• 서울·구리 외 병원이 섞인 경우(가정): 통합수련=파견병원이 지급, 모자·다기관=소속병원이 지급. 이 부분은 확정 규칙이 아니므로 실제 규정에 맞는지 확인하세요.</t>
        </is>
      </c>
    </row>
    <row r="34">
      <c r="A34" s="2" t="inlineStr">
        <is>
          <t>• 파견이 없는 달은 그 달 근무병원(소속 또는 인턴 근무계획 병원)이 지급합니다.</t>
        </is>
      </c>
    </row>
    <row r="35">
      <c r="A35" s="2" t="inlineStr">
        <is>
          <t>• 급여 기준월은 요약 시트 B3(기본값=이번 달 1일)입니다. 다른 달 급여는 그 달 1일 날짜로 바꾸세요. 15일 기준은 요약 E3에서 바꿀 수 있습니다. 급여지급병원 칸이 노란색이면 소속과 다른 병원에서 지급되는 경우입니다.</t>
        </is>
      </c>
    </row>
    <row r="36">
      <c r="A36" s="2" t="inlineStr"/>
    </row>
    <row r="37">
      <c r="A37" s="3" t="inlineStr">
        <is>
          <t>[점검 열]</t>
        </is>
      </c>
    </row>
    <row r="38">
      <c r="A38" s="2" t="inlineStr">
        <is>
          <t>• 전공의명단 '점검' 열이 '정상'이 아니면 빨간색으로 표시됩니다 (기본자료에 없는 사번, 중복, 소속 누락, 파견수련계획/인턴계획 입력오류, 인턴 타지역 근무인데 파견 입력 없음 등).</t>
        </is>
      </c>
    </row>
    <row r="39">
      <c r="A39" s="2" t="inlineStr"/>
    </row>
    <row r="40">
      <c r="A40" s="3" t="inlineStr">
        <is>
          <t>[정렬·필터]</t>
        </is>
      </c>
    </row>
    <row r="41">
      <c r="A41" s="2" t="inlineStr">
        <is>
          <t>• 전공의명단·인턴현황 머리글의 ▼ 버튼으로 정렬/필터합니다 (예: 파견상태=파견중, 종료까지(일) 오름차순 → 종료 임박순).</t>
        </is>
      </c>
    </row>
    <row r="42">
      <c r="A42" s="2" t="inlineStr">
        <is>
          <t>• 주황색 행: 파견중이면서 종료까지 요약 시트의 기준일수(기본 30일) 이내.  회색: 파견종료.</t>
        </is>
      </c>
    </row>
    <row r="43">
      <c r="A43" s="2" t="inlineStr"/>
    </row>
    <row r="44">
      <c r="A44" s="3" t="inlineStr">
        <is>
          <t>[행 늘리기]</t>
        </is>
      </c>
    </row>
    <row r="45">
      <c r="A45" s="2" t="inlineStr">
        <is>
          <t>• 전공의명단은 60행까지 수식이 채워져 있습니다. 더 필요하면 표의 마지막 행 '위'에 행을 삽입하고 바로 위 행을 복사해 붙여넣으세요. 마지막 행 아래에 붙이면 요약 등이 참조하는 범위에 포함되지 않습니다. (인턴근무계획·파견수련계획·인턴현황도 같은 방법)</t>
        </is>
      </c>
    </row>
    <row r="46">
      <c r="A46" s="2" t="inlineStr"/>
    </row>
    <row r="47">
      <c r="A47" s="3" t="inlineStr">
        <is>
          <t>[참고]</t>
        </is>
      </c>
    </row>
    <row r="48">
      <c r="A48" s="2" t="inlineStr">
        <is>
          <t>• 개인정보(생년월일·면허번호 등)가 포함되므로 파일 암호 설정과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14" customWidth="1" min="4" max="4"/>
    <col width="12" customWidth="1" min="5" max="5"/>
    <col width="10" customWidth="1" min="6" max="6"/>
    <col width="13" customWidth="1" min="7" max="7"/>
    <col width="15" customWidth="1" min="8" max="8"/>
    <col width="14" customWidth="1" min="9" max="9"/>
    <col width="7" customWidth="1" min="10" max="10"/>
    <col width="13" customWidth="1" min="11" max="11"/>
    <col width="18" customWidth="1" min="12" max="12"/>
  </cols>
  <sheetData>
    <row r="1">
      <c r="A1" s="4" t="inlineStr">
        <is>
          <t>현재근무 여부</t>
        </is>
      </c>
      <c r="B1" s="4" t="inlineStr">
        <is>
          <t>사번</t>
        </is>
      </c>
      <c r="C1" s="4" t="inlineStr">
        <is>
          <t>이름</t>
        </is>
      </c>
      <c r="D1" s="4" t="inlineStr">
        <is>
          <t>수련과목</t>
        </is>
      </c>
      <c r="E1" s="4" t="inlineStr">
        <is>
          <t>연차</t>
        </is>
      </c>
      <c r="F1" s="4" t="inlineStr">
        <is>
          <t>근무지</t>
        </is>
      </c>
      <c r="G1" s="4" t="inlineStr">
        <is>
          <t>수련개시일</t>
        </is>
      </c>
      <c r="H1" s="4" t="inlineStr">
        <is>
          <t>전공의등록번호</t>
        </is>
      </c>
      <c r="I1" s="4" t="inlineStr">
        <is>
          <t>의사면허번호</t>
        </is>
      </c>
      <c r="J1" s="4" t="inlineStr">
        <is>
          <t>성별</t>
        </is>
      </c>
      <c r="K1" s="4" t="inlineStr">
        <is>
          <t>생년월일</t>
        </is>
      </c>
      <c r="L1" s="4" t="inlineStr">
        <is>
          <t>비고</t>
        </is>
      </c>
    </row>
    <row r="2">
      <c r="A2" s="5" t="inlineStr">
        <is>
          <t>재직</t>
        </is>
      </c>
      <c r="B2" s="6" t="inlineStr">
        <is>
          <t>2261212</t>
        </is>
      </c>
      <c r="C2" s="5" t="inlineStr">
        <is>
          <t>김ㅇㅇ</t>
        </is>
      </c>
      <c r="D2" s="5" t="inlineStr">
        <is>
          <t>가정의학과</t>
        </is>
      </c>
      <c r="E2" s="5" t="inlineStr">
        <is>
          <t>레지던트1</t>
        </is>
      </c>
      <c r="F2" s="5" t="inlineStr">
        <is>
          <t>서울</t>
        </is>
      </c>
      <c r="G2" s="5" t="n">
        <v>20260301</v>
      </c>
      <c r="H2" s="6" t="inlineStr">
        <is>
          <t>11-1111</t>
        </is>
      </c>
      <c r="I2" s="5" t="n">
        <v>111111</v>
      </c>
      <c r="J2" s="5" t="inlineStr">
        <is>
          <t>여</t>
        </is>
      </c>
      <c r="K2" s="5" t="n">
        <v>19999999</v>
      </c>
      <c r="L2" s="5" t="n"/>
    </row>
    <row r="3">
      <c r="A3" s="5" t="inlineStr">
        <is>
          <t>재직</t>
        </is>
      </c>
      <c r="B3" s="6" t="inlineStr">
        <is>
          <t>2261213</t>
        </is>
      </c>
      <c r="C3" s="5" t="inlineStr">
        <is>
          <t>이ㅇㅇ</t>
        </is>
      </c>
      <c r="D3" s="5" t="inlineStr">
        <is>
          <t>내과</t>
        </is>
      </c>
      <c r="E3" s="5" t="inlineStr">
        <is>
          <t>레지던트2</t>
        </is>
      </c>
      <c r="F3" s="5" t="inlineStr">
        <is>
          <t>서울</t>
        </is>
      </c>
      <c r="G3" s="5" t="n">
        <v>20250301</v>
      </c>
      <c r="H3" s="6" t="inlineStr">
        <is>
          <t>11-1112</t>
        </is>
      </c>
      <c r="I3" s="5" t="n">
        <v>111112</v>
      </c>
      <c r="J3" s="5" t="inlineStr">
        <is>
          <t>남</t>
        </is>
      </c>
      <c r="K3" s="5" t="n">
        <v>19950702</v>
      </c>
      <c r="L3" s="5" t="n"/>
    </row>
    <row r="4">
      <c r="A4" s="5" t="inlineStr">
        <is>
          <t>재직</t>
        </is>
      </c>
      <c r="B4" s="6" t="inlineStr">
        <is>
          <t>2261214</t>
        </is>
      </c>
      <c r="C4" s="5" t="inlineStr">
        <is>
          <t>박ㅇㅇ</t>
        </is>
      </c>
      <c r="D4" s="5" t="inlineStr">
        <is>
          <t>내과</t>
        </is>
      </c>
      <c r="E4" s="5" t="inlineStr">
        <is>
          <t>레지던트3</t>
        </is>
      </c>
      <c r="F4" s="5" t="inlineStr">
        <is>
          <t>서울</t>
        </is>
      </c>
      <c r="G4" s="5" t="n">
        <v>20240301</v>
      </c>
      <c r="H4" s="6" t="inlineStr">
        <is>
          <t>21-1111</t>
        </is>
      </c>
      <c r="I4" s="5" t="n">
        <v>111113</v>
      </c>
      <c r="J4" s="5" t="inlineStr">
        <is>
          <t>여</t>
        </is>
      </c>
      <c r="K4" s="5" t="n">
        <v>19970125</v>
      </c>
      <c r="L4" s="5" t="n"/>
    </row>
    <row r="5">
      <c r="A5" s="5" t="inlineStr">
        <is>
          <t>재직</t>
        </is>
      </c>
      <c r="B5" s="6" t="inlineStr">
        <is>
          <t>2261215</t>
        </is>
      </c>
      <c r="C5" s="5" t="inlineStr">
        <is>
          <t>최ㅇㅇ</t>
        </is>
      </c>
      <c r="D5" s="5" t="inlineStr">
        <is>
          <t>산부인과</t>
        </is>
      </c>
      <c r="E5" s="5" t="inlineStr">
        <is>
          <t>레지던트3</t>
        </is>
      </c>
      <c r="F5" s="5" t="inlineStr">
        <is>
          <t>서울</t>
        </is>
      </c>
      <c r="G5" s="5" t="n">
        <v>20240301</v>
      </c>
      <c r="H5" s="6" t="inlineStr">
        <is>
          <t>11-1114</t>
        </is>
      </c>
      <c r="I5" s="5" t="n">
        <v>111114</v>
      </c>
      <c r="J5" s="5" t="inlineStr">
        <is>
          <t>남</t>
        </is>
      </c>
      <c r="K5" s="5" t="n">
        <v>19961109</v>
      </c>
      <c r="L5" s="5" t="n"/>
    </row>
    <row r="6">
      <c r="A6" s="5" t="inlineStr">
        <is>
          <t>재직</t>
        </is>
      </c>
      <c r="B6" s="6" t="inlineStr">
        <is>
          <t>2261216</t>
        </is>
      </c>
      <c r="C6" s="5" t="inlineStr">
        <is>
          <t>정ㅇㅇ</t>
        </is>
      </c>
      <c r="D6" s="5" t="inlineStr">
        <is>
          <t>마취통증의학과</t>
        </is>
      </c>
      <c r="E6" s="5" t="inlineStr">
        <is>
          <t>레지던트2</t>
        </is>
      </c>
      <c r="F6" s="5" t="inlineStr">
        <is>
          <t>구리</t>
        </is>
      </c>
      <c r="G6" s="5" t="n">
        <v>20250301</v>
      </c>
      <c r="H6" s="6" t="inlineStr">
        <is>
          <t>11-1115</t>
        </is>
      </c>
      <c r="I6" s="5" t="n">
        <v>111115</v>
      </c>
      <c r="J6" s="5" t="inlineStr">
        <is>
          <t>여</t>
        </is>
      </c>
      <c r="K6" s="5" t="n">
        <v>19980530</v>
      </c>
      <c r="L6" s="5" t="n"/>
    </row>
    <row r="7">
      <c r="A7" s="5" t="inlineStr">
        <is>
          <t>재직</t>
        </is>
      </c>
      <c r="B7" s="6" t="inlineStr">
        <is>
          <t>222222</t>
        </is>
      </c>
      <c r="C7" s="5" t="inlineStr">
        <is>
          <t>김ㅇㅇ</t>
        </is>
      </c>
      <c r="D7" s="5" t="inlineStr">
        <is>
          <t>인턴</t>
        </is>
      </c>
      <c r="E7" s="5" t="inlineStr">
        <is>
          <t>인턴</t>
        </is>
      </c>
      <c r="F7" s="5" t="inlineStr">
        <is>
          <t>서울</t>
        </is>
      </c>
      <c r="G7" s="5" t="n">
        <v>20260301</v>
      </c>
      <c r="H7" s="6" t="inlineStr">
        <is>
          <t>22-2222</t>
        </is>
      </c>
      <c r="I7" s="5" t="n">
        <v>222222</v>
      </c>
      <c r="J7" s="5" t="inlineStr">
        <is>
          <t>여</t>
        </is>
      </c>
      <c r="K7" s="5" t="n">
        <v>19990101</v>
      </c>
      <c r="L7" s="5" t="n"/>
    </row>
    <row r="8">
      <c r="A8" s="5" t="inlineStr">
        <is>
          <t>재직</t>
        </is>
      </c>
      <c r="B8" s="6" t="inlineStr">
        <is>
          <t>222223</t>
        </is>
      </c>
      <c r="C8" s="5" t="inlineStr">
        <is>
          <t>이ㅇㅇ</t>
        </is>
      </c>
      <c r="D8" s="5" t="inlineStr">
        <is>
          <t>인턴</t>
        </is>
      </c>
      <c r="E8" s="5" t="inlineStr">
        <is>
          <t>인턴</t>
        </is>
      </c>
      <c r="F8" s="5" t="inlineStr">
        <is>
          <t>서울</t>
        </is>
      </c>
      <c r="G8" s="5" t="n">
        <v>20260301</v>
      </c>
      <c r="H8" s="6" t="inlineStr">
        <is>
          <t>22-2223</t>
        </is>
      </c>
      <c r="I8" s="5" t="n">
        <v>222223</v>
      </c>
      <c r="J8" s="5" t="inlineStr">
        <is>
          <t>남</t>
        </is>
      </c>
      <c r="K8" s="5" t="n">
        <v>19990202</v>
      </c>
      <c r="L8" s="5" t="n"/>
    </row>
    <row r="9">
      <c r="A9" s="5" t="inlineStr">
        <is>
          <t>재직</t>
        </is>
      </c>
      <c r="B9" s="6" t="inlineStr">
        <is>
          <t>222224</t>
        </is>
      </c>
      <c r="C9" s="5" t="inlineStr">
        <is>
          <t>박ㅇㅇ</t>
        </is>
      </c>
      <c r="D9" s="5" t="inlineStr">
        <is>
          <t>인턴</t>
        </is>
      </c>
      <c r="E9" s="5" t="inlineStr">
        <is>
          <t>인턴</t>
        </is>
      </c>
      <c r="F9" s="5" t="inlineStr">
        <is>
          <t>구리</t>
        </is>
      </c>
      <c r="G9" s="5" t="n">
        <v>20260301</v>
      </c>
      <c r="H9" s="6" t="inlineStr">
        <is>
          <t>22-2224</t>
        </is>
      </c>
      <c r="I9" s="5" t="n">
        <v>222224</v>
      </c>
      <c r="J9" s="5" t="inlineStr">
        <is>
          <t>남</t>
        </is>
      </c>
      <c r="K9" s="5" t="n">
        <v>19990303</v>
      </c>
      <c r="L9" s="5" t="n"/>
    </row>
    <row r="10">
      <c r="A10" s="5" t="n"/>
      <c r="B10" s="6" t="n"/>
      <c r="C10" s="5" t="n"/>
      <c r="D10" s="5" t="n"/>
      <c r="E10" s="5" t="n"/>
      <c r="F10" s="5" t="n"/>
      <c r="G10" s="5" t="n"/>
      <c r="H10" s="6" t="n"/>
      <c r="I10" s="5" t="n"/>
      <c r="J10" s="5" t="n"/>
      <c r="K10" s="5" t="n"/>
      <c r="L10" s="5" t="n"/>
    </row>
    <row r="11">
      <c r="A11" s="5" t="n"/>
      <c r="B11" s="6" t="n"/>
      <c r="C11" s="5" t="n"/>
      <c r="D11" s="5" t="n"/>
      <c r="E11" s="5" t="n"/>
      <c r="F11" s="5" t="n"/>
      <c r="G11" s="5" t="n"/>
      <c r="H11" s="6" t="n"/>
      <c r="I11" s="5" t="n"/>
      <c r="J11" s="5" t="n"/>
      <c r="K11" s="5" t="n"/>
      <c r="L11" s="5" t="n"/>
    </row>
    <row r="12">
      <c r="A12" s="5" t="n"/>
      <c r="B12" s="6" t="n"/>
      <c r="C12" s="5" t="n"/>
      <c r="D12" s="5" t="n"/>
      <c r="E12" s="5" t="n"/>
      <c r="F12" s="5" t="n"/>
      <c r="G12" s="5" t="n"/>
      <c r="H12" s="6" t="n"/>
      <c r="I12" s="5" t="n"/>
      <c r="J12" s="5" t="n"/>
      <c r="K12" s="5" t="n"/>
      <c r="L12" s="5" t="n"/>
    </row>
    <row r="13">
      <c r="A13" s="5" t="n"/>
      <c r="B13" s="6" t="n"/>
      <c r="C13" s="5" t="n"/>
      <c r="D13" s="5" t="n"/>
      <c r="E13" s="5" t="n"/>
      <c r="F13" s="5" t="n"/>
      <c r="G13" s="5" t="n"/>
      <c r="H13" s="6" t="n"/>
      <c r="I13" s="5" t="n"/>
      <c r="J13" s="5" t="n"/>
      <c r="K13" s="5" t="n"/>
      <c r="L13" s="5" t="n"/>
    </row>
    <row r="14">
      <c r="A14" s="5" t="n"/>
      <c r="B14" s="6" t="n"/>
      <c r="C14" s="5" t="n"/>
      <c r="D14" s="5" t="n"/>
      <c r="E14" s="5" t="n"/>
      <c r="F14" s="5" t="n"/>
      <c r="G14" s="5" t="n"/>
      <c r="H14" s="6" t="n"/>
      <c r="I14" s="5" t="n"/>
      <c r="J14" s="5" t="n"/>
      <c r="K14" s="5" t="n"/>
      <c r="L14" s="5" t="n"/>
    </row>
    <row r="15">
      <c r="A15" s="5" t="n"/>
      <c r="B15" s="6" t="n"/>
      <c r="C15" s="5" t="n"/>
      <c r="D15" s="5" t="n"/>
      <c r="E15" s="5" t="n"/>
      <c r="F15" s="5" t="n"/>
      <c r="G15" s="5" t="n"/>
      <c r="H15" s="6" t="n"/>
      <c r="I15" s="5" t="n"/>
      <c r="J15" s="5" t="n"/>
      <c r="K15" s="5" t="n"/>
      <c r="L15" s="5" t="n"/>
    </row>
    <row r="16">
      <c r="A16" s="5" t="n"/>
      <c r="B16" s="6" t="n"/>
      <c r="C16" s="5" t="n"/>
      <c r="D16" s="5" t="n"/>
      <c r="E16" s="5" t="n"/>
      <c r="F16" s="5" t="n"/>
      <c r="G16" s="5" t="n"/>
      <c r="H16" s="6" t="n"/>
      <c r="I16" s="5" t="n"/>
      <c r="J16" s="5" t="n"/>
      <c r="K16" s="5" t="n"/>
      <c r="L16" s="5" t="n"/>
    </row>
    <row r="17">
      <c r="A17" s="5" t="n"/>
      <c r="B17" s="6" t="n"/>
      <c r="C17" s="5" t="n"/>
      <c r="D17" s="5" t="n"/>
      <c r="E17" s="5" t="n"/>
      <c r="F17" s="5" t="n"/>
      <c r="G17" s="5" t="n"/>
      <c r="H17" s="6" t="n"/>
      <c r="I17" s="5" t="n"/>
      <c r="J17" s="5" t="n"/>
      <c r="K17" s="5" t="n"/>
      <c r="L17" s="5" t="n"/>
    </row>
    <row r="18">
      <c r="A18" s="5" t="n"/>
      <c r="B18" s="6" t="n"/>
      <c r="C18" s="5" t="n"/>
      <c r="D18" s="5" t="n"/>
      <c r="E18" s="5" t="n"/>
      <c r="F18" s="5" t="n"/>
      <c r="G18" s="5" t="n"/>
      <c r="H18" s="6" t="n"/>
      <c r="I18" s="5" t="n"/>
      <c r="J18" s="5" t="n"/>
      <c r="K18" s="5" t="n"/>
      <c r="L18" s="5" t="n"/>
    </row>
    <row r="19">
      <c r="A19" s="5" t="n"/>
      <c r="B19" s="6" t="n"/>
      <c r="C19" s="5" t="n"/>
      <c r="D19" s="5" t="n"/>
      <c r="E19" s="5" t="n"/>
      <c r="F19" s="5" t="n"/>
      <c r="G19" s="5" t="n"/>
      <c r="H19" s="6" t="n"/>
      <c r="I19" s="5" t="n"/>
      <c r="J19" s="5" t="n"/>
      <c r="K19" s="5" t="n"/>
      <c r="L19" s="5" t="n"/>
    </row>
    <row r="20">
      <c r="A20" s="5" t="n"/>
      <c r="B20" s="6" t="n"/>
      <c r="C20" s="5" t="n"/>
      <c r="D20" s="5" t="n"/>
      <c r="E20" s="5" t="n"/>
      <c r="F20" s="5" t="n"/>
      <c r="G20" s="5" t="n"/>
      <c r="H20" s="6" t="n"/>
      <c r="I20" s="5" t="n"/>
      <c r="J20" s="5" t="n"/>
      <c r="K20" s="5" t="n"/>
      <c r="L20" s="5" t="n"/>
    </row>
    <row r="21">
      <c r="A21" s="5" t="n"/>
      <c r="B21" s="6" t="n"/>
      <c r="C21" s="5" t="n"/>
      <c r="D21" s="5" t="n"/>
      <c r="E21" s="5" t="n"/>
      <c r="F21" s="5" t="n"/>
      <c r="G21" s="5" t="n"/>
      <c r="H21" s="6" t="n"/>
      <c r="I21" s="5" t="n"/>
      <c r="J21" s="5" t="n"/>
      <c r="K21" s="5" t="n"/>
      <c r="L21" s="5" t="n"/>
    </row>
    <row r="22">
      <c r="A22" s="5" t="n"/>
      <c r="B22" s="6" t="n"/>
      <c r="C22" s="5" t="n"/>
      <c r="D22" s="5" t="n"/>
      <c r="E22" s="5" t="n"/>
      <c r="F22" s="5" t="n"/>
      <c r="G22" s="5" t="n"/>
      <c r="H22" s="6" t="n"/>
      <c r="I22" s="5" t="n"/>
      <c r="J22" s="5" t="n"/>
      <c r="K22" s="5" t="n"/>
      <c r="L22" s="5" t="n"/>
    </row>
    <row r="23">
      <c r="A23" s="5" t="n"/>
      <c r="B23" s="6" t="n"/>
      <c r="C23" s="5" t="n"/>
      <c r="D23" s="5" t="n"/>
      <c r="E23" s="5" t="n"/>
      <c r="F23" s="5" t="n"/>
      <c r="G23" s="5" t="n"/>
      <c r="H23" s="6" t="n"/>
      <c r="I23" s="5" t="n"/>
      <c r="J23" s="5" t="n"/>
      <c r="K23" s="5" t="n"/>
      <c r="L23" s="5" t="n"/>
    </row>
    <row r="24">
      <c r="A24" s="5" t="n"/>
      <c r="B24" s="6" t="n"/>
      <c r="C24" s="5" t="n"/>
      <c r="D24" s="5" t="n"/>
      <c r="E24" s="5" t="n"/>
      <c r="F24" s="5" t="n"/>
      <c r="G24" s="5" t="n"/>
      <c r="H24" s="6" t="n"/>
      <c r="I24" s="5" t="n"/>
      <c r="J24" s="5" t="n"/>
      <c r="K24" s="5" t="n"/>
      <c r="L24" s="5" t="n"/>
    </row>
    <row r="25">
      <c r="A25" s="5" t="n"/>
      <c r="B25" s="6" t="n"/>
      <c r="C25" s="5" t="n"/>
      <c r="D25" s="5" t="n"/>
      <c r="E25" s="5" t="n"/>
      <c r="F25" s="5" t="n"/>
      <c r="G25" s="5" t="n"/>
      <c r="H25" s="6" t="n"/>
      <c r="I25" s="5" t="n"/>
      <c r="J25" s="5" t="n"/>
      <c r="K25" s="5" t="n"/>
      <c r="L25" s="5" t="n"/>
    </row>
    <row r="26">
      <c r="A26" s="5" t="n"/>
      <c r="B26" s="6" t="n"/>
      <c r="C26" s="5" t="n"/>
      <c r="D26" s="5" t="n"/>
      <c r="E26" s="5" t="n"/>
      <c r="F26" s="5" t="n"/>
      <c r="G26" s="5" t="n"/>
      <c r="H26" s="6" t="n"/>
      <c r="I26" s="5" t="n"/>
      <c r="J26" s="5" t="n"/>
      <c r="K26" s="5" t="n"/>
      <c r="L26" s="5" t="n"/>
    </row>
    <row r="27">
      <c r="A27" s="5" t="n"/>
      <c r="B27" s="6" t="n"/>
      <c r="C27" s="5" t="n"/>
      <c r="D27" s="5" t="n"/>
      <c r="E27" s="5" t="n"/>
      <c r="F27" s="5" t="n"/>
      <c r="G27" s="5" t="n"/>
      <c r="H27" s="6" t="n"/>
      <c r="I27" s="5" t="n"/>
      <c r="J27" s="5" t="n"/>
      <c r="K27" s="5" t="n"/>
      <c r="L27" s="5" t="n"/>
    </row>
    <row r="28">
      <c r="A28" s="5" t="n"/>
      <c r="B28" s="6" t="n"/>
      <c r="C28" s="5" t="n"/>
      <c r="D28" s="5" t="n"/>
      <c r="E28" s="5" t="n"/>
      <c r="F28" s="5" t="n"/>
      <c r="G28" s="5" t="n"/>
      <c r="H28" s="6" t="n"/>
      <c r="I28" s="5" t="n"/>
      <c r="J28" s="5" t="n"/>
      <c r="K28" s="5" t="n"/>
      <c r="L28" s="5" t="n"/>
    </row>
    <row r="29">
      <c r="A29" s="5" t="n"/>
      <c r="B29" s="6" t="n"/>
      <c r="C29" s="5" t="n"/>
      <c r="D29" s="5" t="n"/>
      <c r="E29" s="5" t="n"/>
      <c r="F29" s="5" t="n"/>
      <c r="G29" s="5" t="n"/>
      <c r="H29" s="6" t="n"/>
      <c r="I29" s="5" t="n"/>
      <c r="J29" s="5" t="n"/>
      <c r="K29" s="5" t="n"/>
      <c r="L29" s="5" t="n"/>
    </row>
    <row r="30">
      <c r="A30" s="5" t="n"/>
      <c r="B30" s="6" t="n"/>
      <c r="C30" s="5" t="n"/>
      <c r="D30" s="5" t="n"/>
      <c r="E30" s="5" t="n"/>
      <c r="F30" s="5" t="n"/>
      <c r="G30" s="5" t="n"/>
      <c r="H30" s="6" t="n"/>
      <c r="I30" s="5" t="n"/>
      <c r="J30" s="5" t="n"/>
      <c r="K30" s="5" t="n"/>
      <c r="L30" s="5" t="n"/>
    </row>
    <row r="31">
      <c r="A31" s="5" t="n"/>
      <c r="B31" s="6" t="n"/>
      <c r="C31" s="5" t="n"/>
      <c r="D31" s="5" t="n"/>
      <c r="E31" s="5" t="n"/>
      <c r="F31" s="5" t="n"/>
      <c r="G31" s="5" t="n"/>
      <c r="H31" s="6" t="n"/>
      <c r="I31" s="5" t="n"/>
      <c r="J31" s="5" t="n"/>
      <c r="K31" s="5" t="n"/>
      <c r="L31" s="5" t="n"/>
    </row>
    <row r="32">
      <c r="A32" s="5" t="n"/>
      <c r="B32" s="6" t="n"/>
      <c r="C32" s="5" t="n"/>
      <c r="D32" s="5" t="n"/>
      <c r="E32" s="5" t="n"/>
      <c r="F32" s="5" t="n"/>
      <c r="G32" s="5" t="n"/>
      <c r="H32" s="6" t="n"/>
      <c r="I32" s="5" t="n"/>
      <c r="J32" s="5" t="n"/>
      <c r="K32" s="5" t="n"/>
      <c r="L32" s="5" t="n"/>
    </row>
    <row r="33">
      <c r="A33" s="5" t="n"/>
      <c r="B33" s="6" t="n"/>
      <c r="C33" s="5" t="n"/>
      <c r="D33" s="5" t="n"/>
      <c r="E33" s="5" t="n"/>
      <c r="F33" s="5" t="n"/>
      <c r="G33" s="5" t="n"/>
      <c r="H33" s="6" t="n"/>
      <c r="I33" s="5" t="n"/>
      <c r="J33" s="5" t="n"/>
      <c r="K33" s="5" t="n"/>
      <c r="L33" s="5" t="n"/>
    </row>
    <row r="34">
      <c r="A34" s="5" t="n"/>
      <c r="B34" s="6" t="n"/>
      <c r="C34" s="5" t="n"/>
      <c r="D34" s="5" t="n"/>
      <c r="E34" s="5" t="n"/>
      <c r="F34" s="5" t="n"/>
      <c r="G34" s="5" t="n"/>
      <c r="H34" s="6" t="n"/>
      <c r="I34" s="5" t="n"/>
      <c r="J34" s="5" t="n"/>
      <c r="K34" s="5" t="n"/>
      <c r="L34" s="5" t="n"/>
    </row>
    <row r="35">
      <c r="A35" s="5" t="n"/>
      <c r="B35" s="6" t="n"/>
      <c r="C35" s="5" t="n"/>
      <c r="D35" s="5" t="n"/>
      <c r="E35" s="5" t="n"/>
      <c r="F35" s="5" t="n"/>
      <c r="G35" s="5" t="n"/>
      <c r="H35" s="6" t="n"/>
      <c r="I35" s="5" t="n"/>
      <c r="J35" s="5" t="n"/>
      <c r="K35" s="5" t="n"/>
      <c r="L35" s="5" t="n"/>
    </row>
    <row r="36">
      <c r="A36" s="5" t="n"/>
      <c r="B36" s="6" t="n"/>
      <c r="C36" s="5" t="n"/>
      <c r="D36" s="5" t="n"/>
      <c r="E36" s="5" t="n"/>
      <c r="F36" s="5" t="n"/>
      <c r="G36" s="5" t="n"/>
      <c r="H36" s="6" t="n"/>
      <c r="I36" s="5" t="n"/>
      <c r="J36" s="5" t="n"/>
      <c r="K36" s="5" t="n"/>
      <c r="L36" s="5" t="n"/>
    </row>
    <row r="37">
      <c r="A37" s="5" t="n"/>
      <c r="B37" s="6" t="n"/>
      <c r="C37" s="5" t="n"/>
      <c r="D37" s="5" t="n"/>
      <c r="E37" s="5" t="n"/>
      <c r="F37" s="5" t="n"/>
      <c r="G37" s="5" t="n"/>
      <c r="H37" s="6" t="n"/>
      <c r="I37" s="5" t="n"/>
      <c r="J37" s="5" t="n"/>
      <c r="K37" s="5" t="n"/>
      <c r="L37" s="5" t="n"/>
    </row>
    <row r="38">
      <c r="A38" s="5" t="n"/>
      <c r="B38" s="6" t="n"/>
      <c r="C38" s="5" t="n"/>
      <c r="D38" s="5" t="n"/>
      <c r="E38" s="5" t="n"/>
      <c r="F38" s="5" t="n"/>
      <c r="G38" s="5" t="n"/>
      <c r="H38" s="6" t="n"/>
      <c r="I38" s="5" t="n"/>
      <c r="J38" s="5" t="n"/>
      <c r="K38" s="5" t="n"/>
      <c r="L38" s="5" t="n"/>
    </row>
    <row r="39">
      <c r="A39" s="5" t="n"/>
      <c r="B39" s="6" t="n"/>
      <c r="C39" s="5" t="n"/>
      <c r="D39" s="5" t="n"/>
      <c r="E39" s="5" t="n"/>
      <c r="F39" s="5" t="n"/>
      <c r="G39" s="5" t="n"/>
      <c r="H39" s="6" t="n"/>
      <c r="I39" s="5" t="n"/>
      <c r="J39" s="5" t="n"/>
      <c r="K39" s="5" t="n"/>
      <c r="L39" s="5" t="n"/>
    </row>
    <row r="40">
      <c r="A40" s="5" t="n"/>
      <c r="B40" s="6" t="n"/>
      <c r="C40" s="5" t="n"/>
      <c r="D40" s="5" t="n"/>
      <c r="E40" s="5" t="n"/>
      <c r="F40" s="5" t="n"/>
      <c r="G40" s="5" t="n"/>
      <c r="H40" s="6" t="n"/>
      <c r="I40" s="5" t="n"/>
      <c r="J40" s="5" t="n"/>
      <c r="K40" s="5" t="n"/>
      <c r="L40" s="5" t="n"/>
    </row>
    <row r="41">
      <c r="A41" s="5" t="n"/>
      <c r="B41" s="6" t="n"/>
      <c r="C41" s="5" t="n"/>
      <c r="D41" s="5" t="n"/>
      <c r="E41" s="5" t="n"/>
      <c r="F41" s="5" t="n"/>
      <c r="G41" s="5" t="n"/>
      <c r="H41" s="6" t="n"/>
      <c r="I41" s="5" t="n"/>
      <c r="J41" s="5" t="n"/>
      <c r="K41" s="5" t="n"/>
      <c r="L41" s="5" t="n"/>
    </row>
    <row r="42">
      <c r="A42" s="5" t="n"/>
      <c r="B42" s="6" t="n"/>
      <c r="C42" s="5" t="n"/>
      <c r="D42" s="5" t="n"/>
      <c r="E42" s="5" t="n"/>
      <c r="F42" s="5" t="n"/>
      <c r="G42" s="5" t="n"/>
      <c r="H42" s="6" t="n"/>
      <c r="I42" s="5" t="n"/>
      <c r="J42" s="5" t="n"/>
      <c r="K42" s="5" t="n"/>
      <c r="L42" s="5" t="n"/>
    </row>
    <row r="43">
      <c r="A43" s="5" t="n"/>
      <c r="B43" s="6" t="n"/>
      <c r="C43" s="5" t="n"/>
      <c r="D43" s="5" t="n"/>
      <c r="E43" s="5" t="n"/>
      <c r="F43" s="5" t="n"/>
      <c r="G43" s="5" t="n"/>
      <c r="H43" s="6" t="n"/>
      <c r="I43" s="5" t="n"/>
      <c r="J43" s="5" t="n"/>
      <c r="K43" s="5" t="n"/>
      <c r="L43" s="5" t="n"/>
    </row>
    <row r="44">
      <c r="A44" s="5" t="n"/>
      <c r="B44" s="6" t="n"/>
      <c r="C44" s="5" t="n"/>
      <c r="D44" s="5" t="n"/>
      <c r="E44" s="5" t="n"/>
      <c r="F44" s="5" t="n"/>
      <c r="G44" s="5" t="n"/>
      <c r="H44" s="6" t="n"/>
      <c r="I44" s="5" t="n"/>
      <c r="J44" s="5" t="n"/>
      <c r="K44" s="5" t="n"/>
      <c r="L44" s="5" t="n"/>
    </row>
    <row r="45">
      <c r="A45" s="5" t="n"/>
      <c r="B45" s="6" t="n"/>
      <c r="C45" s="5" t="n"/>
      <c r="D45" s="5" t="n"/>
      <c r="E45" s="5" t="n"/>
      <c r="F45" s="5" t="n"/>
      <c r="G45" s="5" t="n"/>
      <c r="H45" s="6" t="n"/>
      <c r="I45" s="5" t="n"/>
      <c r="J45" s="5" t="n"/>
      <c r="K45" s="5" t="n"/>
      <c r="L45" s="5" t="n"/>
    </row>
    <row r="46">
      <c r="A46" s="5" t="n"/>
      <c r="B46" s="6" t="n"/>
      <c r="C46" s="5" t="n"/>
      <c r="D46" s="5" t="n"/>
      <c r="E46" s="5" t="n"/>
      <c r="F46" s="5" t="n"/>
      <c r="G46" s="5" t="n"/>
      <c r="H46" s="6" t="n"/>
      <c r="I46" s="5" t="n"/>
      <c r="J46" s="5" t="n"/>
      <c r="K46" s="5" t="n"/>
      <c r="L46" s="5" t="n"/>
    </row>
    <row r="47">
      <c r="A47" s="5" t="n"/>
      <c r="B47" s="6" t="n"/>
      <c r="C47" s="5" t="n"/>
      <c r="D47" s="5" t="n"/>
      <c r="E47" s="5" t="n"/>
      <c r="F47" s="5" t="n"/>
      <c r="G47" s="5" t="n"/>
      <c r="H47" s="6" t="n"/>
      <c r="I47" s="5" t="n"/>
      <c r="J47" s="5" t="n"/>
      <c r="K47" s="5" t="n"/>
      <c r="L47" s="5" t="n"/>
    </row>
    <row r="48">
      <c r="A48" s="5" t="n"/>
      <c r="B48" s="6" t="n"/>
      <c r="C48" s="5" t="n"/>
      <c r="D48" s="5" t="n"/>
      <c r="E48" s="5" t="n"/>
      <c r="F48" s="5" t="n"/>
      <c r="G48" s="5" t="n"/>
      <c r="H48" s="6" t="n"/>
      <c r="I48" s="5" t="n"/>
      <c r="J48" s="5" t="n"/>
      <c r="K48" s="5" t="n"/>
      <c r="L48" s="5" t="n"/>
    </row>
    <row r="49">
      <c r="A49" s="5" t="n"/>
      <c r="B49" s="6" t="n"/>
      <c r="C49" s="5" t="n"/>
      <c r="D49" s="5" t="n"/>
      <c r="E49" s="5" t="n"/>
      <c r="F49" s="5" t="n"/>
      <c r="G49" s="5" t="n"/>
      <c r="H49" s="6" t="n"/>
      <c r="I49" s="5" t="n"/>
      <c r="J49" s="5" t="n"/>
      <c r="K49" s="5" t="n"/>
      <c r="L49" s="5" t="n"/>
    </row>
    <row r="50">
      <c r="A50" s="5" t="n"/>
      <c r="B50" s="6" t="n"/>
      <c r="C50" s="5" t="n"/>
      <c r="D50" s="5" t="n"/>
      <c r="E50" s="5" t="n"/>
      <c r="F50" s="5" t="n"/>
      <c r="G50" s="5" t="n"/>
      <c r="H50" s="6" t="n"/>
      <c r="I50" s="5" t="n"/>
      <c r="J50" s="5" t="n"/>
      <c r="K50" s="5" t="n"/>
      <c r="L50" s="5" t="n"/>
    </row>
    <row r="51">
      <c r="A51" s="5" t="n"/>
      <c r="B51" s="6" t="n"/>
      <c r="C51" s="5" t="n"/>
      <c r="D51" s="5" t="n"/>
      <c r="E51" s="5" t="n"/>
      <c r="F51" s="5" t="n"/>
      <c r="G51" s="5" t="n"/>
      <c r="H51" s="6" t="n"/>
      <c r="I51" s="5" t="n"/>
      <c r="J51" s="5" t="n"/>
      <c r="K51" s="5" t="n"/>
      <c r="L51" s="5" t="n"/>
    </row>
    <row r="52">
      <c r="A52" s="5" t="n"/>
      <c r="B52" s="6" t="n"/>
      <c r="C52" s="5" t="n"/>
      <c r="D52" s="5" t="n"/>
      <c r="E52" s="5" t="n"/>
      <c r="F52" s="5" t="n"/>
      <c r="G52" s="5" t="n"/>
      <c r="H52" s="6" t="n"/>
      <c r="I52" s="5" t="n"/>
      <c r="J52" s="5" t="n"/>
      <c r="K52" s="5" t="n"/>
      <c r="L52" s="5" t="n"/>
    </row>
    <row r="53">
      <c r="A53" s="5" t="n"/>
      <c r="B53" s="6" t="n"/>
      <c r="C53" s="5" t="n"/>
      <c r="D53" s="5" t="n"/>
      <c r="E53" s="5" t="n"/>
      <c r="F53" s="5" t="n"/>
      <c r="G53" s="5" t="n"/>
      <c r="H53" s="6" t="n"/>
      <c r="I53" s="5" t="n"/>
      <c r="J53" s="5" t="n"/>
      <c r="K53" s="5" t="n"/>
      <c r="L53" s="5" t="n"/>
    </row>
    <row r="54">
      <c r="A54" s="5" t="n"/>
      <c r="B54" s="6" t="n"/>
      <c r="C54" s="5" t="n"/>
      <c r="D54" s="5" t="n"/>
      <c r="E54" s="5" t="n"/>
      <c r="F54" s="5" t="n"/>
      <c r="G54" s="5" t="n"/>
      <c r="H54" s="6" t="n"/>
      <c r="I54" s="5" t="n"/>
      <c r="J54" s="5" t="n"/>
      <c r="K54" s="5" t="n"/>
      <c r="L54" s="5" t="n"/>
    </row>
    <row r="55">
      <c r="A55" s="5" t="n"/>
      <c r="B55" s="6" t="n"/>
      <c r="C55" s="5" t="n"/>
      <c r="D55" s="5" t="n"/>
      <c r="E55" s="5" t="n"/>
      <c r="F55" s="5" t="n"/>
      <c r="G55" s="5" t="n"/>
      <c r="H55" s="6" t="n"/>
      <c r="I55" s="5" t="n"/>
      <c r="J55" s="5" t="n"/>
      <c r="K55" s="5" t="n"/>
      <c r="L55" s="5" t="n"/>
    </row>
    <row r="56">
      <c r="A56" s="5" t="n"/>
      <c r="B56" s="6" t="n"/>
      <c r="C56" s="5" t="n"/>
      <c r="D56" s="5" t="n"/>
      <c r="E56" s="5" t="n"/>
      <c r="F56" s="5" t="n"/>
      <c r="G56" s="5" t="n"/>
      <c r="H56" s="6" t="n"/>
      <c r="I56" s="5" t="n"/>
      <c r="J56" s="5" t="n"/>
      <c r="K56" s="5" t="n"/>
      <c r="L56" s="5" t="n"/>
    </row>
    <row r="57">
      <c r="A57" s="5" t="n"/>
      <c r="B57" s="6" t="n"/>
      <c r="C57" s="5" t="n"/>
      <c r="D57" s="5" t="n"/>
      <c r="E57" s="5" t="n"/>
      <c r="F57" s="5" t="n"/>
      <c r="G57" s="5" t="n"/>
      <c r="H57" s="6" t="n"/>
      <c r="I57" s="5" t="n"/>
      <c r="J57" s="5" t="n"/>
      <c r="K57" s="5" t="n"/>
      <c r="L57" s="5" t="n"/>
    </row>
    <row r="58">
      <c r="A58" s="5" t="n"/>
      <c r="B58" s="6" t="n"/>
      <c r="C58" s="5" t="n"/>
      <c r="D58" s="5" t="n"/>
      <c r="E58" s="5" t="n"/>
      <c r="F58" s="5" t="n"/>
      <c r="G58" s="5" t="n"/>
      <c r="H58" s="6" t="n"/>
      <c r="I58" s="5" t="n"/>
      <c r="J58" s="5" t="n"/>
      <c r="K58" s="5" t="n"/>
      <c r="L58" s="5" t="n"/>
    </row>
    <row r="59">
      <c r="A59" s="5" t="n"/>
      <c r="B59" s="6" t="n"/>
      <c r="C59" s="5" t="n"/>
      <c r="D59" s="5" t="n"/>
      <c r="E59" s="5" t="n"/>
      <c r="F59" s="5" t="n"/>
      <c r="G59" s="5" t="n"/>
      <c r="H59" s="6" t="n"/>
      <c r="I59" s="5" t="n"/>
      <c r="J59" s="5" t="n"/>
      <c r="K59" s="5" t="n"/>
      <c r="L59" s="5" t="n"/>
    </row>
    <row r="60">
      <c r="A60" s="5" t="n"/>
      <c r="B60" s="6" t="n"/>
      <c r="C60" s="5" t="n"/>
      <c r="D60" s="5" t="n"/>
      <c r="E60" s="5" t="n"/>
      <c r="F60" s="5" t="n"/>
      <c r="G60" s="5" t="n"/>
      <c r="H60" s="6" t="n"/>
      <c r="I60" s="5" t="n"/>
      <c r="J60" s="5" t="n"/>
      <c r="K60" s="5" t="n"/>
      <c r="L60" s="5" t="n"/>
    </row>
    <row r="61">
      <c r="A61" s="5" t="n"/>
      <c r="B61" s="6" t="n"/>
      <c r="C61" s="5" t="n"/>
      <c r="D61" s="5" t="n"/>
      <c r="E61" s="5" t="n"/>
      <c r="F61" s="5" t="n"/>
      <c r="G61" s="5" t="n"/>
      <c r="H61" s="6" t="n"/>
      <c r="I61" s="5" t="n"/>
      <c r="J61" s="5" t="n"/>
      <c r="K61" s="5" t="n"/>
      <c r="L61" s="5" t="n"/>
    </row>
    <row r="62">
      <c r="A62" s="5" t="n"/>
      <c r="B62" s="6" t="n"/>
      <c r="C62" s="5" t="n"/>
      <c r="D62" s="5" t="n"/>
      <c r="E62" s="5" t="n"/>
      <c r="F62" s="5" t="n"/>
      <c r="G62" s="5" t="n"/>
      <c r="H62" s="6" t="n"/>
      <c r="I62" s="5" t="n"/>
      <c r="J62" s="5" t="n"/>
      <c r="K62" s="5" t="n"/>
      <c r="L62" s="5" t="n"/>
    </row>
    <row r="63">
      <c r="A63" s="5" t="n"/>
      <c r="B63" s="6" t="n"/>
      <c r="C63" s="5" t="n"/>
      <c r="D63" s="5" t="n"/>
      <c r="E63" s="5" t="n"/>
      <c r="F63" s="5" t="n"/>
      <c r="G63" s="5" t="n"/>
      <c r="H63" s="6" t="n"/>
      <c r="I63" s="5" t="n"/>
      <c r="J63" s="5" t="n"/>
      <c r="K63" s="5" t="n"/>
      <c r="L63" s="5" t="n"/>
    </row>
    <row r="64">
      <c r="A64" s="5" t="n"/>
      <c r="B64" s="6" t="n"/>
      <c r="C64" s="5" t="n"/>
      <c r="D64" s="5" t="n"/>
      <c r="E64" s="5" t="n"/>
      <c r="F64" s="5" t="n"/>
      <c r="G64" s="5" t="n"/>
      <c r="H64" s="6" t="n"/>
      <c r="I64" s="5" t="n"/>
      <c r="J64" s="5" t="n"/>
      <c r="K64" s="5" t="n"/>
      <c r="L64" s="5" t="n"/>
    </row>
    <row r="65">
      <c r="A65" s="5" t="n"/>
      <c r="B65" s="6" t="n"/>
      <c r="C65" s="5" t="n"/>
      <c r="D65" s="5" t="n"/>
      <c r="E65" s="5" t="n"/>
      <c r="F65" s="5" t="n"/>
      <c r="G65" s="5" t="n"/>
      <c r="H65" s="6" t="n"/>
      <c r="I65" s="5" t="n"/>
      <c r="J65" s="5" t="n"/>
      <c r="K65" s="5" t="n"/>
      <c r="L65" s="5" t="n"/>
    </row>
    <row r="66">
      <c r="A66" s="5" t="n"/>
      <c r="B66" s="6" t="n"/>
      <c r="C66" s="5" t="n"/>
      <c r="D66" s="5" t="n"/>
      <c r="E66" s="5" t="n"/>
      <c r="F66" s="5" t="n"/>
      <c r="G66" s="5" t="n"/>
      <c r="H66" s="6" t="n"/>
      <c r="I66" s="5" t="n"/>
      <c r="J66" s="5" t="n"/>
      <c r="K66" s="5" t="n"/>
      <c r="L66" s="5" t="n"/>
    </row>
    <row r="67">
      <c r="A67" s="5" t="n"/>
      <c r="B67" s="6" t="n"/>
      <c r="C67" s="5" t="n"/>
      <c r="D67" s="5" t="n"/>
      <c r="E67" s="5" t="n"/>
      <c r="F67" s="5" t="n"/>
      <c r="G67" s="5" t="n"/>
      <c r="H67" s="6" t="n"/>
      <c r="I67" s="5" t="n"/>
      <c r="J67" s="5" t="n"/>
      <c r="K67" s="5" t="n"/>
      <c r="L67" s="5" t="n"/>
    </row>
    <row r="68">
      <c r="A68" s="5" t="n"/>
      <c r="B68" s="6" t="n"/>
      <c r="C68" s="5" t="n"/>
      <c r="D68" s="5" t="n"/>
      <c r="E68" s="5" t="n"/>
      <c r="F68" s="5" t="n"/>
      <c r="G68" s="5" t="n"/>
      <c r="H68" s="6" t="n"/>
      <c r="I68" s="5" t="n"/>
      <c r="J68" s="5" t="n"/>
      <c r="K68" s="5" t="n"/>
      <c r="L68" s="5" t="n"/>
    </row>
    <row r="69">
      <c r="A69" s="5" t="n"/>
      <c r="B69" s="6" t="n"/>
      <c r="C69" s="5" t="n"/>
      <c r="D69" s="5" t="n"/>
      <c r="E69" s="5" t="n"/>
      <c r="F69" s="5" t="n"/>
      <c r="G69" s="5" t="n"/>
      <c r="H69" s="6" t="n"/>
      <c r="I69" s="5" t="n"/>
      <c r="J69" s="5" t="n"/>
      <c r="K69" s="5" t="n"/>
      <c r="L69" s="5" t="n"/>
    </row>
    <row r="70">
      <c r="A70" s="5" t="n"/>
      <c r="B70" s="6" t="n"/>
      <c r="C70" s="5" t="n"/>
      <c r="D70" s="5" t="n"/>
      <c r="E70" s="5" t="n"/>
      <c r="F70" s="5" t="n"/>
      <c r="G70" s="5" t="n"/>
      <c r="H70" s="6" t="n"/>
      <c r="I70" s="5" t="n"/>
      <c r="J70" s="5" t="n"/>
      <c r="K70" s="5" t="n"/>
      <c r="L70" s="5" t="n"/>
    </row>
    <row r="71">
      <c r="A71" s="5" t="n"/>
      <c r="B71" s="6" t="n"/>
      <c r="C71" s="5" t="n"/>
      <c r="D71" s="5" t="n"/>
      <c r="E71" s="5" t="n"/>
      <c r="F71" s="5" t="n"/>
      <c r="G71" s="5" t="n"/>
      <c r="H71" s="6" t="n"/>
      <c r="I71" s="5" t="n"/>
      <c r="J71" s="5" t="n"/>
      <c r="K71" s="5" t="n"/>
      <c r="L71" s="5" t="n"/>
    </row>
    <row r="72">
      <c r="A72" s="5" t="n"/>
      <c r="B72" s="6" t="n"/>
      <c r="C72" s="5" t="n"/>
      <c r="D72" s="5" t="n"/>
      <c r="E72" s="5" t="n"/>
      <c r="F72" s="5" t="n"/>
      <c r="G72" s="5" t="n"/>
      <c r="H72" s="6" t="n"/>
      <c r="I72" s="5" t="n"/>
      <c r="J72" s="5" t="n"/>
      <c r="K72" s="5" t="n"/>
      <c r="L72" s="5" t="n"/>
    </row>
    <row r="73">
      <c r="A73" s="5" t="n"/>
      <c r="B73" s="6" t="n"/>
      <c r="C73" s="5" t="n"/>
      <c r="D73" s="5" t="n"/>
      <c r="E73" s="5" t="n"/>
      <c r="F73" s="5" t="n"/>
      <c r="G73" s="5" t="n"/>
      <c r="H73" s="6" t="n"/>
      <c r="I73" s="5" t="n"/>
      <c r="J73" s="5" t="n"/>
      <c r="K73" s="5" t="n"/>
      <c r="L73" s="5" t="n"/>
    </row>
    <row r="74">
      <c r="A74" s="5" t="n"/>
      <c r="B74" s="6" t="n"/>
      <c r="C74" s="5" t="n"/>
      <c r="D74" s="5" t="n"/>
      <c r="E74" s="5" t="n"/>
      <c r="F74" s="5" t="n"/>
      <c r="G74" s="5" t="n"/>
      <c r="H74" s="6" t="n"/>
      <c r="I74" s="5" t="n"/>
      <c r="J74" s="5" t="n"/>
      <c r="K74" s="5" t="n"/>
      <c r="L74" s="5" t="n"/>
    </row>
    <row r="75">
      <c r="A75" s="5" t="n"/>
      <c r="B75" s="6" t="n"/>
      <c r="C75" s="5" t="n"/>
      <c r="D75" s="5" t="n"/>
      <c r="E75" s="5" t="n"/>
      <c r="F75" s="5" t="n"/>
      <c r="G75" s="5" t="n"/>
      <c r="H75" s="6" t="n"/>
      <c r="I75" s="5" t="n"/>
      <c r="J75" s="5" t="n"/>
      <c r="K75" s="5" t="n"/>
      <c r="L75" s="5" t="n"/>
    </row>
    <row r="76">
      <c r="A76" s="5" t="n"/>
      <c r="B76" s="6" t="n"/>
      <c r="C76" s="5" t="n"/>
      <c r="D76" s="5" t="n"/>
      <c r="E76" s="5" t="n"/>
      <c r="F76" s="5" t="n"/>
      <c r="G76" s="5" t="n"/>
      <c r="H76" s="6" t="n"/>
      <c r="I76" s="5" t="n"/>
      <c r="J76" s="5" t="n"/>
      <c r="K76" s="5" t="n"/>
      <c r="L76" s="5" t="n"/>
    </row>
    <row r="77">
      <c r="A77" s="5" t="n"/>
      <c r="B77" s="6" t="n"/>
      <c r="C77" s="5" t="n"/>
      <c r="D77" s="5" t="n"/>
      <c r="E77" s="5" t="n"/>
      <c r="F77" s="5" t="n"/>
      <c r="G77" s="5" t="n"/>
      <c r="H77" s="6" t="n"/>
      <c r="I77" s="5" t="n"/>
      <c r="J77" s="5" t="n"/>
      <c r="K77" s="5" t="n"/>
      <c r="L77" s="5" t="n"/>
    </row>
    <row r="78">
      <c r="A78" s="5" t="n"/>
      <c r="B78" s="6" t="n"/>
      <c r="C78" s="5" t="n"/>
      <c r="D78" s="5" t="n"/>
      <c r="E78" s="5" t="n"/>
      <c r="F78" s="5" t="n"/>
      <c r="G78" s="5" t="n"/>
      <c r="H78" s="6" t="n"/>
      <c r="I78" s="5" t="n"/>
      <c r="J78" s="5" t="n"/>
      <c r="K78" s="5" t="n"/>
      <c r="L78" s="5" t="n"/>
    </row>
    <row r="79">
      <c r="A79" s="5" t="n"/>
      <c r="B79" s="6" t="n"/>
      <c r="C79" s="5" t="n"/>
      <c r="D79" s="5" t="n"/>
      <c r="E79" s="5" t="n"/>
      <c r="F79" s="5" t="n"/>
      <c r="G79" s="5" t="n"/>
      <c r="H79" s="6" t="n"/>
      <c r="I79" s="5" t="n"/>
      <c r="J79" s="5" t="n"/>
      <c r="K79" s="5" t="n"/>
      <c r="L79" s="5" t="n"/>
    </row>
    <row r="80">
      <c r="A80" s="5" t="n"/>
      <c r="B80" s="6" t="n"/>
      <c r="C80" s="5" t="n"/>
      <c r="D80" s="5" t="n"/>
      <c r="E80" s="5" t="n"/>
      <c r="F80" s="5" t="n"/>
      <c r="G80" s="5" t="n"/>
      <c r="H80" s="6" t="n"/>
      <c r="I80" s="5" t="n"/>
      <c r="J80" s="5" t="n"/>
      <c r="K80" s="5" t="n"/>
      <c r="L80" s="5" t="n"/>
    </row>
    <row r="81">
      <c r="A81" s="5" t="n"/>
      <c r="B81" s="6" t="n"/>
      <c r="C81" s="5" t="n"/>
      <c r="D81" s="5" t="n"/>
      <c r="E81" s="5" t="n"/>
      <c r="F81" s="5" t="n"/>
      <c r="G81" s="5" t="n"/>
      <c r="H81" s="6" t="n"/>
      <c r="I81" s="5" t="n"/>
      <c r="J81" s="5" t="n"/>
      <c r="K81" s="5" t="n"/>
      <c r="L81" s="5" t="n"/>
    </row>
    <row r="82">
      <c r="A82" s="5" t="n"/>
      <c r="B82" s="6" t="n"/>
      <c r="C82" s="5" t="n"/>
      <c r="D82" s="5" t="n"/>
      <c r="E82" s="5" t="n"/>
      <c r="F82" s="5" t="n"/>
      <c r="G82" s="5" t="n"/>
      <c r="H82" s="6" t="n"/>
      <c r="I82" s="5" t="n"/>
      <c r="J82" s="5" t="n"/>
      <c r="K82" s="5" t="n"/>
      <c r="L82" s="5" t="n"/>
    </row>
    <row r="83">
      <c r="A83" s="5" t="n"/>
      <c r="B83" s="6" t="n"/>
      <c r="C83" s="5" t="n"/>
      <c r="D83" s="5" t="n"/>
      <c r="E83" s="5" t="n"/>
      <c r="F83" s="5" t="n"/>
      <c r="G83" s="5" t="n"/>
      <c r="H83" s="6" t="n"/>
      <c r="I83" s="5" t="n"/>
      <c r="J83" s="5" t="n"/>
      <c r="K83" s="5" t="n"/>
      <c r="L83" s="5" t="n"/>
    </row>
    <row r="84">
      <c r="A84" s="5" t="n"/>
      <c r="B84" s="6" t="n"/>
      <c r="C84" s="5" t="n"/>
      <c r="D84" s="5" t="n"/>
      <c r="E84" s="5" t="n"/>
      <c r="F84" s="5" t="n"/>
      <c r="G84" s="5" t="n"/>
      <c r="H84" s="6" t="n"/>
      <c r="I84" s="5" t="n"/>
      <c r="J84" s="5" t="n"/>
      <c r="K84" s="5" t="n"/>
      <c r="L84" s="5" t="n"/>
    </row>
    <row r="85">
      <c r="A85" s="5" t="n"/>
      <c r="B85" s="6" t="n"/>
      <c r="C85" s="5" t="n"/>
      <c r="D85" s="5" t="n"/>
      <c r="E85" s="5" t="n"/>
      <c r="F85" s="5" t="n"/>
      <c r="G85" s="5" t="n"/>
      <c r="H85" s="6" t="n"/>
      <c r="I85" s="5" t="n"/>
      <c r="J85" s="5" t="n"/>
      <c r="K85" s="5" t="n"/>
      <c r="L85" s="5" t="n"/>
    </row>
    <row r="86">
      <c r="A86" s="5" t="n"/>
      <c r="B86" s="6" t="n"/>
      <c r="C86" s="5" t="n"/>
      <c r="D86" s="5" t="n"/>
      <c r="E86" s="5" t="n"/>
      <c r="F86" s="5" t="n"/>
      <c r="G86" s="5" t="n"/>
      <c r="H86" s="6" t="n"/>
      <c r="I86" s="5" t="n"/>
      <c r="J86" s="5" t="n"/>
      <c r="K86" s="5" t="n"/>
      <c r="L86" s="5" t="n"/>
    </row>
    <row r="87">
      <c r="A87" s="5" t="n"/>
      <c r="B87" s="6" t="n"/>
      <c r="C87" s="5" t="n"/>
      <c r="D87" s="5" t="n"/>
      <c r="E87" s="5" t="n"/>
      <c r="F87" s="5" t="n"/>
      <c r="G87" s="5" t="n"/>
      <c r="H87" s="6" t="n"/>
      <c r="I87" s="5" t="n"/>
      <c r="J87" s="5" t="n"/>
      <c r="K87" s="5" t="n"/>
      <c r="L87" s="5" t="n"/>
    </row>
    <row r="88">
      <c r="A88" s="5" t="n"/>
      <c r="B88" s="6" t="n"/>
      <c r="C88" s="5" t="n"/>
      <c r="D88" s="5" t="n"/>
      <c r="E88" s="5" t="n"/>
      <c r="F88" s="5" t="n"/>
      <c r="G88" s="5" t="n"/>
      <c r="H88" s="6" t="n"/>
      <c r="I88" s="5" t="n"/>
      <c r="J88" s="5" t="n"/>
      <c r="K88" s="5" t="n"/>
      <c r="L88" s="5" t="n"/>
    </row>
    <row r="89">
      <c r="A89" s="5" t="n"/>
      <c r="B89" s="6" t="n"/>
      <c r="C89" s="5" t="n"/>
      <c r="D89" s="5" t="n"/>
      <c r="E89" s="5" t="n"/>
      <c r="F89" s="5" t="n"/>
      <c r="G89" s="5" t="n"/>
      <c r="H89" s="6" t="n"/>
      <c r="I89" s="5" t="n"/>
      <c r="J89" s="5" t="n"/>
      <c r="K89" s="5" t="n"/>
      <c r="L89" s="5" t="n"/>
    </row>
    <row r="90">
      <c r="A90" s="5" t="n"/>
      <c r="B90" s="6" t="n"/>
      <c r="C90" s="5" t="n"/>
      <c r="D90" s="5" t="n"/>
      <c r="E90" s="5" t="n"/>
      <c r="F90" s="5" t="n"/>
      <c r="G90" s="5" t="n"/>
      <c r="H90" s="6" t="n"/>
      <c r="I90" s="5" t="n"/>
      <c r="J90" s="5" t="n"/>
      <c r="K90" s="5" t="n"/>
      <c r="L90" s="5" t="n"/>
    </row>
    <row r="91">
      <c r="A91" s="5" t="n"/>
      <c r="B91" s="6" t="n"/>
      <c r="C91" s="5" t="n"/>
      <c r="D91" s="5" t="n"/>
      <c r="E91" s="5" t="n"/>
      <c r="F91" s="5" t="n"/>
      <c r="G91" s="5" t="n"/>
      <c r="H91" s="6" t="n"/>
      <c r="I91" s="5" t="n"/>
      <c r="J91" s="5" t="n"/>
      <c r="K91" s="5" t="n"/>
      <c r="L91" s="5" t="n"/>
    </row>
    <row r="92">
      <c r="A92" s="5" t="n"/>
      <c r="B92" s="6" t="n"/>
      <c r="C92" s="5" t="n"/>
      <c r="D92" s="5" t="n"/>
      <c r="E92" s="5" t="n"/>
      <c r="F92" s="5" t="n"/>
      <c r="G92" s="5" t="n"/>
      <c r="H92" s="6" t="n"/>
      <c r="I92" s="5" t="n"/>
      <c r="J92" s="5" t="n"/>
      <c r="K92" s="5" t="n"/>
      <c r="L92" s="5" t="n"/>
    </row>
    <row r="93">
      <c r="A93" s="5" t="n"/>
      <c r="B93" s="6" t="n"/>
      <c r="C93" s="5" t="n"/>
      <c r="D93" s="5" t="n"/>
      <c r="E93" s="5" t="n"/>
      <c r="F93" s="5" t="n"/>
      <c r="G93" s="5" t="n"/>
      <c r="H93" s="6" t="n"/>
      <c r="I93" s="5" t="n"/>
      <c r="J93" s="5" t="n"/>
      <c r="K93" s="5" t="n"/>
      <c r="L93" s="5" t="n"/>
    </row>
    <row r="94">
      <c r="A94" s="5" t="n"/>
      <c r="B94" s="6" t="n"/>
      <c r="C94" s="5" t="n"/>
      <c r="D94" s="5" t="n"/>
      <c r="E94" s="5" t="n"/>
      <c r="F94" s="5" t="n"/>
      <c r="G94" s="5" t="n"/>
      <c r="H94" s="6" t="n"/>
      <c r="I94" s="5" t="n"/>
      <c r="J94" s="5" t="n"/>
      <c r="K94" s="5" t="n"/>
      <c r="L94" s="5" t="n"/>
    </row>
    <row r="95">
      <c r="A95" s="5" t="n"/>
      <c r="B95" s="6" t="n"/>
      <c r="C95" s="5" t="n"/>
      <c r="D95" s="5" t="n"/>
      <c r="E95" s="5" t="n"/>
      <c r="F95" s="5" t="n"/>
      <c r="G95" s="5" t="n"/>
      <c r="H95" s="6" t="n"/>
      <c r="I95" s="5" t="n"/>
      <c r="J95" s="5" t="n"/>
      <c r="K95" s="5" t="n"/>
      <c r="L95" s="5" t="n"/>
    </row>
    <row r="96">
      <c r="A96" s="5" t="n"/>
      <c r="B96" s="6" t="n"/>
      <c r="C96" s="5" t="n"/>
      <c r="D96" s="5" t="n"/>
      <c r="E96" s="5" t="n"/>
      <c r="F96" s="5" t="n"/>
      <c r="G96" s="5" t="n"/>
      <c r="H96" s="6" t="n"/>
      <c r="I96" s="5" t="n"/>
      <c r="J96" s="5" t="n"/>
      <c r="K96" s="5" t="n"/>
      <c r="L96" s="5" t="n"/>
    </row>
    <row r="97">
      <c r="A97" s="5" t="n"/>
      <c r="B97" s="6" t="n"/>
      <c r="C97" s="5" t="n"/>
      <c r="D97" s="5" t="n"/>
      <c r="E97" s="5" t="n"/>
      <c r="F97" s="5" t="n"/>
      <c r="G97" s="5" t="n"/>
      <c r="H97" s="6" t="n"/>
      <c r="I97" s="5" t="n"/>
      <c r="J97" s="5" t="n"/>
      <c r="K97" s="5" t="n"/>
      <c r="L97" s="5" t="n"/>
    </row>
    <row r="98">
      <c r="A98" s="5" t="n"/>
      <c r="B98" s="6" t="n"/>
      <c r="C98" s="5" t="n"/>
      <c r="D98" s="5" t="n"/>
      <c r="E98" s="5" t="n"/>
      <c r="F98" s="5" t="n"/>
      <c r="G98" s="5" t="n"/>
      <c r="H98" s="6" t="n"/>
      <c r="I98" s="5" t="n"/>
      <c r="J98" s="5" t="n"/>
      <c r="K98" s="5" t="n"/>
      <c r="L98" s="5" t="n"/>
    </row>
    <row r="99">
      <c r="A99" s="5" t="n"/>
      <c r="B99" s="6" t="n"/>
      <c r="C99" s="5" t="n"/>
      <c r="D99" s="5" t="n"/>
      <c r="E99" s="5" t="n"/>
      <c r="F99" s="5" t="n"/>
      <c r="G99" s="5" t="n"/>
      <c r="H99" s="6" t="n"/>
      <c r="I99" s="5" t="n"/>
      <c r="J99" s="5" t="n"/>
      <c r="K99" s="5" t="n"/>
      <c r="L99" s="5" t="n"/>
    </row>
    <row r="100">
      <c r="A100" s="5" t="n"/>
      <c r="B100" s="6" t="n"/>
      <c r="C100" s="5" t="n"/>
      <c r="D100" s="5" t="n"/>
      <c r="E100" s="5" t="n"/>
      <c r="F100" s="5" t="n"/>
      <c r="G100" s="5" t="n"/>
      <c r="H100" s="6" t="n"/>
      <c r="I100" s="5" t="n"/>
      <c r="J100" s="5" t="n"/>
      <c r="K100" s="5" t="n"/>
      <c r="L100" s="5" t="n"/>
    </row>
    <row r="101">
      <c r="A101" s="5" t="n"/>
      <c r="B101" s="6" t="n"/>
      <c r="C101" s="5" t="n"/>
      <c r="D101" s="5" t="n"/>
      <c r="E101" s="5" t="n"/>
      <c r="F101" s="5" t="n"/>
      <c r="G101" s="5" t="n"/>
      <c r="H101" s="6" t="n"/>
      <c r="I101" s="5" t="n"/>
      <c r="J101" s="5" t="n"/>
      <c r="K101" s="5" t="n"/>
      <c r="L101" s="5" t="n"/>
    </row>
    <row r="102">
      <c r="A102" s="5" t="n"/>
      <c r="B102" s="6" t="n"/>
      <c r="C102" s="5" t="n"/>
      <c r="D102" s="5" t="n"/>
      <c r="E102" s="5" t="n"/>
      <c r="F102" s="5" t="n"/>
      <c r="G102" s="5" t="n"/>
      <c r="H102" s="6" t="n"/>
      <c r="I102" s="5" t="n"/>
      <c r="J102" s="5" t="n"/>
      <c r="K102" s="5" t="n"/>
      <c r="L102" s="5" t="n"/>
    </row>
    <row r="103">
      <c r="A103" s="5" t="n"/>
      <c r="B103" s="6" t="n"/>
      <c r="C103" s="5" t="n"/>
      <c r="D103" s="5" t="n"/>
      <c r="E103" s="5" t="n"/>
      <c r="F103" s="5" t="n"/>
      <c r="G103" s="5" t="n"/>
      <c r="H103" s="6" t="n"/>
      <c r="I103" s="5" t="n"/>
      <c r="J103" s="5" t="n"/>
      <c r="K103" s="5" t="n"/>
      <c r="L103" s="5" t="n"/>
    </row>
    <row r="104">
      <c r="A104" s="5" t="n"/>
      <c r="B104" s="6" t="n"/>
      <c r="C104" s="5" t="n"/>
      <c r="D104" s="5" t="n"/>
      <c r="E104" s="5" t="n"/>
      <c r="F104" s="5" t="n"/>
      <c r="G104" s="5" t="n"/>
      <c r="H104" s="6" t="n"/>
      <c r="I104" s="5" t="n"/>
      <c r="J104" s="5" t="n"/>
      <c r="K104" s="5" t="n"/>
      <c r="L104" s="5" t="n"/>
    </row>
    <row r="105">
      <c r="A105" s="5" t="n"/>
      <c r="B105" s="6" t="n"/>
      <c r="C105" s="5" t="n"/>
      <c r="D105" s="5" t="n"/>
      <c r="E105" s="5" t="n"/>
      <c r="F105" s="5" t="n"/>
      <c r="G105" s="5" t="n"/>
      <c r="H105" s="6" t="n"/>
      <c r="I105" s="5" t="n"/>
      <c r="J105" s="5" t="n"/>
      <c r="K105" s="5" t="n"/>
      <c r="L105" s="5" t="n"/>
    </row>
    <row r="106">
      <c r="A106" s="5" t="n"/>
      <c r="B106" s="6" t="n"/>
      <c r="C106" s="5" t="n"/>
      <c r="D106" s="5" t="n"/>
      <c r="E106" s="5" t="n"/>
      <c r="F106" s="5" t="n"/>
      <c r="G106" s="5" t="n"/>
      <c r="H106" s="6" t="n"/>
      <c r="I106" s="5" t="n"/>
      <c r="J106" s="5" t="n"/>
      <c r="K106" s="5" t="n"/>
      <c r="L106" s="5" t="n"/>
    </row>
    <row r="107">
      <c r="A107" s="5" t="n"/>
      <c r="B107" s="6" t="n"/>
      <c r="C107" s="5" t="n"/>
      <c r="D107" s="5" t="n"/>
      <c r="E107" s="5" t="n"/>
      <c r="F107" s="5" t="n"/>
      <c r="G107" s="5" t="n"/>
      <c r="H107" s="6" t="n"/>
      <c r="I107" s="5" t="n"/>
      <c r="J107" s="5" t="n"/>
      <c r="K107" s="5" t="n"/>
      <c r="L107" s="5" t="n"/>
    </row>
    <row r="108">
      <c r="A108" s="5" t="n"/>
      <c r="B108" s="6" t="n"/>
      <c r="C108" s="5" t="n"/>
      <c r="D108" s="5" t="n"/>
      <c r="E108" s="5" t="n"/>
      <c r="F108" s="5" t="n"/>
      <c r="G108" s="5" t="n"/>
      <c r="H108" s="6" t="n"/>
      <c r="I108" s="5" t="n"/>
      <c r="J108" s="5" t="n"/>
      <c r="K108" s="5" t="n"/>
      <c r="L108" s="5" t="n"/>
    </row>
    <row r="109">
      <c r="A109" s="5" t="n"/>
      <c r="B109" s="6" t="n"/>
      <c r="C109" s="5" t="n"/>
      <c r="D109" s="5" t="n"/>
      <c r="E109" s="5" t="n"/>
      <c r="F109" s="5" t="n"/>
      <c r="G109" s="5" t="n"/>
      <c r="H109" s="6" t="n"/>
      <c r="I109" s="5" t="n"/>
      <c r="J109" s="5" t="n"/>
      <c r="K109" s="5" t="n"/>
      <c r="L109" s="5" t="n"/>
    </row>
    <row r="110">
      <c r="A110" s="5" t="n"/>
      <c r="B110" s="6" t="n"/>
      <c r="C110" s="5" t="n"/>
      <c r="D110" s="5" t="n"/>
      <c r="E110" s="5" t="n"/>
      <c r="F110" s="5" t="n"/>
      <c r="G110" s="5" t="n"/>
      <c r="H110" s="6" t="n"/>
      <c r="I110" s="5" t="n"/>
      <c r="J110" s="5" t="n"/>
      <c r="K110" s="5" t="n"/>
      <c r="L110" s="5" t="n"/>
    </row>
    <row r="111">
      <c r="A111" s="5" t="n"/>
      <c r="B111" s="6" t="n"/>
      <c r="C111" s="5" t="n"/>
      <c r="D111" s="5" t="n"/>
      <c r="E111" s="5" t="n"/>
      <c r="F111" s="5" t="n"/>
      <c r="G111" s="5" t="n"/>
      <c r="H111" s="6" t="n"/>
      <c r="I111" s="5" t="n"/>
      <c r="J111" s="5" t="n"/>
      <c r="K111" s="5" t="n"/>
      <c r="L111" s="5" t="n"/>
    </row>
    <row r="112">
      <c r="A112" s="5" t="n"/>
      <c r="B112" s="6" t="n"/>
      <c r="C112" s="5" t="n"/>
      <c r="D112" s="5" t="n"/>
      <c r="E112" s="5" t="n"/>
      <c r="F112" s="5" t="n"/>
      <c r="G112" s="5" t="n"/>
      <c r="H112" s="6" t="n"/>
      <c r="I112" s="5" t="n"/>
      <c r="J112" s="5" t="n"/>
      <c r="K112" s="5" t="n"/>
      <c r="L112" s="5" t="n"/>
    </row>
    <row r="113">
      <c r="A113" s="5" t="n"/>
      <c r="B113" s="6" t="n"/>
      <c r="C113" s="5" t="n"/>
      <c r="D113" s="5" t="n"/>
      <c r="E113" s="5" t="n"/>
      <c r="F113" s="5" t="n"/>
      <c r="G113" s="5" t="n"/>
      <c r="H113" s="6" t="n"/>
      <c r="I113" s="5" t="n"/>
      <c r="J113" s="5" t="n"/>
      <c r="K113" s="5" t="n"/>
      <c r="L113" s="5" t="n"/>
    </row>
    <row r="114">
      <c r="A114" s="5" t="n"/>
      <c r="B114" s="6" t="n"/>
      <c r="C114" s="5" t="n"/>
      <c r="D114" s="5" t="n"/>
      <c r="E114" s="5" t="n"/>
      <c r="F114" s="5" t="n"/>
      <c r="G114" s="5" t="n"/>
      <c r="H114" s="6" t="n"/>
      <c r="I114" s="5" t="n"/>
      <c r="J114" s="5" t="n"/>
      <c r="K114" s="5" t="n"/>
      <c r="L114" s="5" t="n"/>
    </row>
    <row r="115">
      <c r="A115" s="5" t="n"/>
      <c r="B115" s="6" t="n"/>
      <c r="C115" s="5" t="n"/>
      <c r="D115" s="5" t="n"/>
      <c r="E115" s="5" t="n"/>
      <c r="F115" s="5" t="n"/>
      <c r="G115" s="5" t="n"/>
      <c r="H115" s="6" t="n"/>
      <c r="I115" s="5" t="n"/>
      <c r="J115" s="5" t="n"/>
      <c r="K115" s="5" t="n"/>
      <c r="L115" s="5" t="n"/>
    </row>
    <row r="116">
      <c r="A116" s="5" t="n"/>
      <c r="B116" s="6" t="n"/>
      <c r="C116" s="5" t="n"/>
      <c r="D116" s="5" t="n"/>
      <c r="E116" s="5" t="n"/>
      <c r="F116" s="5" t="n"/>
      <c r="G116" s="5" t="n"/>
      <c r="H116" s="6" t="n"/>
      <c r="I116" s="5" t="n"/>
      <c r="J116" s="5" t="n"/>
      <c r="K116" s="5" t="n"/>
      <c r="L116" s="5" t="n"/>
    </row>
    <row r="117">
      <c r="A117" s="5" t="n"/>
      <c r="B117" s="6" t="n"/>
      <c r="C117" s="5" t="n"/>
      <c r="D117" s="5" t="n"/>
      <c r="E117" s="5" t="n"/>
      <c r="F117" s="5" t="n"/>
      <c r="G117" s="5" t="n"/>
      <c r="H117" s="6" t="n"/>
      <c r="I117" s="5" t="n"/>
      <c r="J117" s="5" t="n"/>
      <c r="K117" s="5" t="n"/>
      <c r="L117" s="5" t="n"/>
    </row>
    <row r="118">
      <c r="A118" s="5" t="n"/>
      <c r="B118" s="6" t="n"/>
      <c r="C118" s="5" t="n"/>
      <c r="D118" s="5" t="n"/>
      <c r="E118" s="5" t="n"/>
      <c r="F118" s="5" t="n"/>
      <c r="G118" s="5" t="n"/>
      <c r="H118" s="6" t="n"/>
      <c r="I118" s="5" t="n"/>
      <c r="J118" s="5" t="n"/>
      <c r="K118" s="5" t="n"/>
      <c r="L118" s="5" t="n"/>
    </row>
    <row r="119">
      <c r="A119" s="5" t="n"/>
      <c r="B119" s="6" t="n"/>
      <c r="C119" s="5" t="n"/>
      <c r="D119" s="5" t="n"/>
      <c r="E119" s="5" t="n"/>
      <c r="F119" s="5" t="n"/>
      <c r="G119" s="5" t="n"/>
      <c r="H119" s="6" t="n"/>
      <c r="I119" s="5" t="n"/>
      <c r="J119" s="5" t="n"/>
      <c r="K119" s="5" t="n"/>
      <c r="L119" s="5" t="n"/>
    </row>
    <row r="120">
      <c r="A120" s="5" t="n"/>
      <c r="B120" s="6" t="n"/>
      <c r="C120" s="5" t="n"/>
      <c r="D120" s="5" t="n"/>
      <c r="E120" s="5" t="n"/>
      <c r="F120" s="5" t="n"/>
      <c r="G120" s="5" t="n"/>
      <c r="H120" s="6" t="n"/>
      <c r="I120" s="5" t="n"/>
      <c r="J120" s="5" t="n"/>
      <c r="K120" s="5" t="n"/>
      <c r="L120" s="5" t="n"/>
    </row>
    <row r="121">
      <c r="A121" s="5" t="n"/>
      <c r="B121" s="6" t="n"/>
      <c r="C121" s="5" t="n"/>
      <c r="D121" s="5" t="n"/>
      <c r="E121" s="5" t="n"/>
      <c r="F121" s="5" t="n"/>
      <c r="G121" s="5" t="n"/>
      <c r="H121" s="6" t="n"/>
      <c r="I121" s="5" t="n"/>
      <c r="J121" s="5" t="n"/>
      <c r="K121" s="5" t="n"/>
      <c r="L121" s="5" t="n"/>
    </row>
    <row r="122">
      <c r="A122" s="5" t="n"/>
      <c r="B122" s="6" t="n"/>
      <c r="C122" s="5" t="n"/>
      <c r="D122" s="5" t="n"/>
      <c r="E122" s="5" t="n"/>
      <c r="F122" s="5" t="n"/>
      <c r="G122" s="5" t="n"/>
      <c r="H122" s="6" t="n"/>
      <c r="I122" s="5" t="n"/>
      <c r="J122" s="5" t="n"/>
      <c r="K122" s="5" t="n"/>
      <c r="L122" s="5" t="n"/>
    </row>
    <row r="123">
      <c r="A123" s="5" t="n"/>
      <c r="B123" s="6" t="n"/>
      <c r="C123" s="5" t="n"/>
      <c r="D123" s="5" t="n"/>
      <c r="E123" s="5" t="n"/>
      <c r="F123" s="5" t="n"/>
      <c r="G123" s="5" t="n"/>
      <c r="H123" s="6" t="n"/>
      <c r="I123" s="5" t="n"/>
      <c r="J123" s="5" t="n"/>
      <c r="K123" s="5" t="n"/>
      <c r="L123" s="5" t="n"/>
    </row>
    <row r="124">
      <c r="A124" s="5" t="n"/>
      <c r="B124" s="6" t="n"/>
      <c r="C124" s="5" t="n"/>
      <c r="D124" s="5" t="n"/>
      <c r="E124" s="5" t="n"/>
      <c r="F124" s="5" t="n"/>
      <c r="G124" s="5" t="n"/>
      <c r="H124" s="6" t="n"/>
      <c r="I124" s="5" t="n"/>
      <c r="J124" s="5" t="n"/>
      <c r="K124" s="5" t="n"/>
      <c r="L124" s="5" t="n"/>
    </row>
    <row r="125">
      <c r="A125" s="5" t="n"/>
      <c r="B125" s="6" t="n"/>
      <c r="C125" s="5" t="n"/>
      <c r="D125" s="5" t="n"/>
      <c r="E125" s="5" t="n"/>
      <c r="F125" s="5" t="n"/>
      <c r="G125" s="5" t="n"/>
      <c r="H125" s="6" t="n"/>
      <c r="I125" s="5" t="n"/>
      <c r="J125" s="5" t="n"/>
      <c r="K125" s="5" t="n"/>
      <c r="L125" s="5" t="n"/>
    </row>
    <row r="126">
      <c r="A126" s="5" t="n"/>
      <c r="B126" s="6" t="n"/>
      <c r="C126" s="5" t="n"/>
      <c r="D126" s="5" t="n"/>
      <c r="E126" s="5" t="n"/>
      <c r="F126" s="5" t="n"/>
      <c r="G126" s="5" t="n"/>
      <c r="H126" s="6" t="n"/>
      <c r="I126" s="5" t="n"/>
      <c r="J126" s="5" t="n"/>
      <c r="K126" s="5" t="n"/>
      <c r="L126" s="5" t="n"/>
    </row>
    <row r="127">
      <c r="A127" s="5" t="n"/>
      <c r="B127" s="6" t="n"/>
      <c r="C127" s="5" t="n"/>
      <c r="D127" s="5" t="n"/>
      <c r="E127" s="5" t="n"/>
      <c r="F127" s="5" t="n"/>
      <c r="G127" s="5" t="n"/>
      <c r="H127" s="6" t="n"/>
      <c r="I127" s="5" t="n"/>
      <c r="J127" s="5" t="n"/>
      <c r="K127" s="5" t="n"/>
      <c r="L127" s="5" t="n"/>
    </row>
    <row r="128">
      <c r="A128" s="5" t="n"/>
      <c r="B128" s="6" t="n"/>
      <c r="C128" s="5" t="n"/>
      <c r="D128" s="5" t="n"/>
      <c r="E128" s="5" t="n"/>
      <c r="F128" s="5" t="n"/>
      <c r="G128" s="5" t="n"/>
      <c r="H128" s="6" t="n"/>
      <c r="I128" s="5" t="n"/>
      <c r="J128" s="5" t="n"/>
      <c r="K128" s="5" t="n"/>
      <c r="L128" s="5" t="n"/>
    </row>
    <row r="129">
      <c r="A129" s="5" t="n"/>
      <c r="B129" s="6" t="n"/>
      <c r="C129" s="5" t="n"/>
      <c r="D129" s="5" t="n"/>
      <c r="E129" s="5" t="n"/>
      <c r="F129" s="5" t="n"/>
      <c r="G129" s="5" t="n"/>
      <c r="H129" s="6" t="n"/>
      <c r="I129" s="5" t="n"/>
      <c r="J129" s="5" t="n"/>
      <c r="K129" s="5" t="n"/>
      <c r="L129" s="5" t="n"/>
    </row>
    <row r="130">
      <c r="A130" s="5" t="n"/>
      <c r="B130" s="6" t="n"/>
      <c r="C130" s="5" t="n"/>
      <c r="D130" s="5" t="n"/>
      <c r="E130" s="5" t="n"/>
      <c r="F130" s="5" t="n"/>
      <c r="G130" s="5" t="n"/>
      <c r="H130" s="6" t="n"/>
      <c r="I130" s="5" t="n"/>
      <c r="J130" s="5" t="n"/>
      <c r="K130" s="5" t="n"/>
      <c r="L130" s="5" t="n"/>
    </row>
    <row r="131">
      <c r="A131" s="5" t="n"/>
      <c r="B131" s="6" t="n"/>
      <c r="C131" s="5" t="n"/>
      <c r="D131" s="5" t="n"/>
      <c r="E131" s="5" t="n"/>
      <c r="F131" s="5" t="n"/>
      <c r="G131" s="5" t="n"/>
      <c r="H131" s="6" t="n"/>
      <c r="I131" s="5" t="n"/>
      <c r="J131" s="5" t="n"/>
      <c r="K131" s="5" t="n"/>
      <c r="L131" s="5" t="n"/>
    </row>
    <row r="132">
      <c r="A132" s="5" t="n"/>
      <c r="B132" s="6" t="n"/>
      <c r="C132" s="5" t="n"/>
      <c r="D132" s="5" t="n"/>
      <c r="E132" s="5" t="n"/>
      <c r="F132" s="5" t="n"/>
      <c r="G132" s="5" t="n"/>
      <c r="H132" s="6" t="n"/>
      <c r="I132" s="5" t="n"/>
      <c r="J132" s="5" t="n"/>
      <c r="K132" s="5" t="n"/>
      <c r="L132" s="5" t="n"/>
    </row>
    <row r="133">
      <c r="A133" s="5" t="n"/>
      <c r="B133" s="6" t="n"/>
      <c r="C133" s="5" t="n"/>
      <c r="D133" s="5" t="n"/>
      <c r="E133" s="5" t="n"/>
      <c r="F133" s="5" t="n"/>
      <c r="G133" s="5" t="n"/>
      <c r="H133" s="6" t="n"/>
      <c r="I133" s="5" t="n"/>
      <c r="J133" s="5" t="n"/>
      <c r="K133" s="5" t="n"/>
      <c r="L133" s="5" t="n"/>
    </row>
    <row r="134">
      <c r="A134" s="5" t="n"/>
      <c r="B134" s="6" t="n"/>
      <c r="C134" s="5" t="n"/>
      <c r="D134" s="5" t="n"/>
      <c r="E134" s="5" t="n"/>
      <c r="F134" s="5" t="n"/>
      <c r="G134" s="5" t="n"/>
      <c r="H134" s="6" t="n"/>
      <c r="I134" s="5" t="n"/>
      <c r="J134" s="5" t="n"/>
      <c r="K134" s="5" t="n"/>
      <c r="L134" s="5" t="n"/>
    </row>
    <row r="135">
      <c r="A135" s="5" t="n"/>
      <c r="B135" s="6" t="n"/>
      <c r="C135" s="5" t="n"/>
      <c r="D135" s="5" t="n"/>
      <c r="E135" s="5" t="n"/>
      <c r="F135" s="5" t="n"/>
      <c r="G135" s="5" t="n"/>
      <c r="H135" s="6" t="n"/>
      <c r="I135" s="5" t="n"/>
      <c r="J135" s="5" t="n"/>
      <c r="K135" s="5" t="n"/>
      <c r="L135" s="5" t="n"/>
    </row>
    <row r="136">
      <c r="A136" s="5" t="n"/>
      <c r="B136" s="6" t="n"/>
      <c r="C136" s="5" t="n"/>
      <c r="D136" s="5" t="n"/>
      <c r="E136" s="5" t="n"/>
      <c r="F136" s="5" t="n"/>
      <c r="G136" s="5" t="n"/>
      <c r="H136" s="6" t="n"/>
      <c r="I136" s="5" t="n"/>
      <c r="J136" s="5" t="n"/>
      <c r="K136" s="5" t="n"/>
      <c r="L136" s="5" t="n"/>
    </row>
    <row r="137">
      <c r="A137" s="5" t="n"/>
      <c r="B137" s="6" t="n"/>
      <c r="C137" s="5" t="n"/>
      <c r="D137" s="5" t="n"/>
      <c r="E137" s="5" t="n"/>
      <c r="F137" s="5" t="n"/>
      <c r="G137" s="5" t="n"/>
      <c r="H137" s="6" t="n"/>
      <c r="I137" s="5" t="n"/>
      <c r="J137" s="5" t="n"/>
      <c r="K137" s="5" t="n"/>
      <c r="L137" s="5" t="n"/>
    </row>
    <row r="138">
      <c r="A138" s="5" t="n"/>
      <c r="B138" s="6" t="n"/>
      <c r="C138" s="5" t="n"/>
      <c r="D138" s="5" t="n"/>
      <c r="E138" s="5" t="n"/>
      <c r="F138" s="5" t="n"/>
      <c r="G138" s="5" t="n"/>
      <c r="H138" s="6" t="n"/>
      <c r="I138" s="5" t="n"/>
      <c r="J138" s="5" t="n"/>
      <c r="K138" s="5" t="n"/>
      <c r="L138" s="5" t="n"/>
    </row>
    <row r="139">
      <c r="A139" s="5" t="n"/>
      <c r="B139" s="6" t="n"/>
      <c r="C139" s="5" t="n"/>
      <c r="D139" s="5" t="n"/>
      <c r="E139" s="5" t="n"/>
      <c r="F139" s="5" t="n"/>
      <c r="G139" s="5" t="n"/>
      <c r="H139" s="6" t="n"/>
      <c r="I139" s="5" t="n"/>
      <c r="J139" s="5" t="n"/>
      <c r="K139" s="5" t="n"/>
      <c r="L139" s="5" t="n"/>
    </row>
    <row r="140">
      <c r="A140" s="5" t="n"/>
      <c r="B140" s="6" t="n"/>
      <c r="C140" s="5" t="n"/>
      <c r="D140" s="5" t="n"/>
      <c r="E140" s="5" t="n"/>
      <c r="F140" s="5" t="n"/>
      <c r="G140" s="5" t="n"/>
      <c r="H140" s="6" t="n"/>
      <c r="I140" s="5" t="n"/>
      <c r="J140" s="5" t="n"/>
      <c r="K140" s="5" t="n"/>
      <c r="L140" s="5" t="n"/>
    </row>
    <row r="141">
      <c r="A141" s="5" t="n"/>
      <c r="B141" s="6" t="n"/>
      <c r="C141" s="5" t="n"/>
      <c r="D141" s="5" t="n"/>
      <c r="E141" s="5" t="n"/>
      <c r="F141" s="5" t="n"/>
      <c r="G141" s="5" t="n"/>
      <c r="H141" s="6" t="n"/>
      <c r="I141" s="5" t="n"/>
      <c r="J141" s="5" t="n"/>
      <c r="K141" s="5" t="n"/>
      <c r="L141" s="5" t="n"/>
    </row>
    <row r="142">
      <c r="A142" s="5" t="n"/>
      <c r="B142" s="6" t="n"/>
      <c r="C142" s="5" t="n"/>
      <c r="D142" s="5" t="n"/>
      <c r="E142" s="5" t="n"/>
      <c r="F142" s="5" t="n"/>
      <c r="G142" s="5" t="n"/>
      <c r="H142" s="6" t="n"/>
      <c r="I142" s="5" t="n"/>
      <c r="J142" s="5" t="n"/>
      <c r="K142" s="5" t="n"/>
      <c r="L142" s="5" t="n"/>
    </row>
    <row r="143">
      <c r="A143" s="5" t="n"/>
      <c r="B143" s="6" t="n"/>
      <c r="C143" s="5" t="n"/>
      <c r="D143" s="5" t="n"/>
      <c r="E143" s="5" t="n"/>
      <c r="F143" s="5" t="n"/>
      <c r="G143" s="5" t="n"/>
      <c r="H143" s="6" t="n"/>
      <c r="I143" s="5" t="n"/>
      <c r="J143" s="5" t="n"/>
      <c r="K143" s="5" t="n"/>
      <c r="L143" s="5" t="n"/>
    </row>
    <row r="144">
      <c r="A144" s="5" t="n"/>
      <c r="B144" s="6" t="n"/>
      <c r="C144" s="5" t="n"/>
      <c r="D144" s="5" t="n"/>
      <c r="E144" s="5" t="n"/>
      <c r="F144" s="5" t="n"/>
      <c r="G144" s="5" t="n"/>
      <c r="H144" s="6" t="n"/>
      <c r="I144" s="5" t="n"/>
      <c r="J144" s="5" t="n"/>
      <c r="K144" s="5" t="n"/>
      <c r="L144" s="5" t="n"/>
    </row>
    <row r="145">
      <c r="A145" s="5" t="n"/>
      <c r="B145" s="6" t="n"/>
      <c r="C145" s="5" t="n"/>
      <c r="D145" s="5" t="n"/>
      <c r="E145" s="5" t="n"/>
      <c r="F145" s="5" t="n"/>
      <c r="G145" s="5" t="n"/>
      <c r="H145" s="6" t="n"/>
      <c r="I145" s="5" t="n"/>
      <c r="J145" s="5" t="n"/>
      <c r="K145" s="5" t="n"/>
      <c r="L145" s="5" t="n"/>
    </row>
    <row r="146">
      <c r="A146" s="5" t="n"/>
      <c r="B146" s="6" t="n"/>
      <c r="C146" s="5" t="n"/>
      <c r="D146" s="5" t="n"/>
      <c r="E146" s="5" t="n"/>
      <c r="F146" s="5" t="n"/>
      <c r="G146" s="5" t="n"/>
      <c r="H146" s="6" t="n"/>
      <c r="I146" s="5" t="n"/>
      <c r="J146" s="5" t="n"/>
      <c r="K146" s="5" t="n"/>
      <c r="L146" s="5" t="n"/>
    </row>
    <row r="147">
      <c r="A147" s="5" t="n"/>
      <c r="B147" s="6" t="n"/>
      <c r="C147" s="5" t="n"/>
      <c r="D147" s="5" t="n"/>
      <c r="E147" s="5" t="n"/>
      <c r="F147" s="5" t="n"/>
      <c r="G147" s="5" t="n"/>
      <c r="H147" s="6" t="n"/>
      <c r="I147" s="5" t="n"/>
      <c r="J147" s="5" t="n"/>
      <c r="K147" s="5" t="n"/>
      <c r="L147" s="5" t="n"/>
    </row>
    <row r="148">
      <c r="A148" s="5" t="n"/>
      <c r="B148" s="6" t="n"/>
      <c r="C148" s="5" t="n"/>
      <c r="D148" s="5" t="n"/>
      <c r="E148" s="5" t="n"/>
      <c r="F148" s="5" t="n"/>
      <c r="G148" s="5" t="n"/>
      <c r="H148" s="6" t="n"/>
      <c r="I148" s="5" t="n"/>
      <c r="J148" s="5" t="n"/>
      <c r="K148" s="5" t="n"/>
      <c r="L148" s="5" t="n"/>
    </row>
    <row r="149">
      <c r="A149" s="5" t="n"/>
      <c r="B149" s="6" t="n"/>
      <c r="C149" s="5" t="n"/>
      <c r="D149" s="5" t="n"/>
      <c r="E149" s="5" t="n"/>
      <c r="F149" s="5" t="n"/>
      <c r="G149" s="5" t="n"/>
      <c r="H149" s="6" t="n"/>
      <c r="I149" s="5" t="n"/>
      <c r="J149" s="5" t="n"/>
      <c r="K149" s="5" t="n"/>
      <c r="L149" s="5" t="n"/>
    </row>
    <row r="150">
      <c r="A150" s="5" t="n"/>
      <c r="B150" s="6" t="n"/>
      <c r="C150" s="5" t="n"/>
      <c r="D150" s="5" t="n"/>
      <c r="E150" s="5" t="n"/>
      <c r="F150" s="5" t="n"/>
      <c r="G150" s="5" t="n"/>
      <c r="H150" s="6" t="n"/>
      <c r="I150" s="5" t="n"/>
      <c r="J150" s="5" t="n"/>
      <c r="K150" s="5" t="n"/>
      <c r="L150" s="5" t="n"/>
    </row>
    <row r="151">
      <c r="A151" s="5" t="n"/>
      <c r="B151" s="6" t="n"/>
      <c r="C151" s="5" t="n"/>
      <c r="D151" s="5" t="n"/>
      <c r="E151" s="5" t="n"/>
      <c r="F151" s="5" t="n"/>
      <c r="G151" s="5" t="n"/>
      <c r="H151" s="6" t="n"/>
      <c r="I151" s="5" t="n"/>
      <c r="J151" s="5" t="n"/>
      <c r="K151" s="5" t="n"/>
      <c r="L151" s="5" t="n"/>
    </row>
    <row r="152">
      <c r="A152" s="5" t="n"/>
      <c r="B152" s="6" t="n"/>
      <c r="C152" s="5" t="n"/>
      <c r="D152" s="5" t="n"/>
      <c r="E152" s="5" t="n"/>
      <c r="F152" s="5" t="n"/>
      <c r="G152" s="5" t="n"/>
      <c r="H152" s="6" t="n"/>
      <c r="I152" s="5" t="n"/>
      <c r="J152" s="5" t="n"/>
      <c r="K152" s="5" t="n"/>
      <c r="L152" s="5" t="n"/>
    </row>
    <row r="153">
      <c r="A153" s="5" t="n"/>
      <c r="B153" s="6" t="n"/>
      <c r="C153" s="5" t="n"/>
      <c r="D153" s="5" t="n"/>
      <c r="E153" s="5" t="n"/>
      <c r="F153" s="5" t="n"/>
      <c r="G153" s="5" t="n"/>
      <c r="H153" s="6" t="n"/>
      <c r="I153" s="5" t="n"/>
      <c r="J153" s="5" t="n"/>
      <c r="K153" s="5" t="n"/>
      <c r="L153" s="5" t="n"/>
    </row>
    <row r="154">
      <c r="A154" s="5" t="n"/>
      <c r="B154" s="6" t="n"/>
      <c r="C154" s="5" t="n"/>
      <c r="D154" s="5" t="n"/>
      <c r="E154" s="5" t="n"/>
      <c r="F154" s="5" t="n"/>
      <c r="G154" s="5" t="n"/>
      <c r="H154" s="6" t="n"/>
      <c r="I154" s="5" t="n"/>
      <c r="J154" s="5" t="n"/>
      <c r="K154" s="5" t="n"/>
      <c r="L154" s="5" t="n"/>
    </row>
    <row r="155">
      <c r="A155" s="5" t="n"/>
      <c r="B155" s="6" t="n"/>
      <c r="C155" s="5" t="n"/>
      <c r="D155" s="5" t="n"/>
      <c r="E155" s="5" t="n"/>
      <c r="F155" s="5" t="n"/>
      <c r="G155" s="5" t="n"/>
      <c r="H155" s="6" t="n"/>
      <c r="I155" s="5" t="n"/>
      <c r="J155" s="5" t="n"/>
      <c r="K155" s="5" t="n"/>
      <c r="L155" s="5" t="n"/>
    </row>
    <row r="156">
      <c r="A156" s="5" t="n"/>
      <c r="B156" s="6" t="n"/>
      <c r="C156" s="5" t="n"/>
      <c r="D156" s="5" t="n"/>
      <c r="E156" s="5" t="n"/>
      <c r="F156" s="5" t="n"/>
      <c r="G156" s="5" t="n"/>
      <c r="H156" s="6" t="n"/>
      <c r="I156" s="5" t="n"/>
      <c r="J156" s="5" t="n"/>
      <c r="K156" s="5" t="n"/>
      <c r="L156" s="5" t="n"/>
    </row>
    <row r="157">
      <c r="A157" s="5" t="n"/>
      <c r="B157" s="6" t="n"/>
      <c r="C157" s="5" t="n"/>
      <c r="D157" s="5" t="n"/>
      <c r="E157" s="5" t="n"/>
      <c r="F157" s="5" t="n"/>
      <c r="G157" s="5" t="n"/>
      <c r="H157" s="6" t="n"/>
      <c r="I157" s="5" t="n"/>
      <c r="J157" s="5" t="n"/>
      <c r="K157" s="5" t="n"/>
      <c r="L157" s="5" t="n"/>
    </row>
    <row r="158">
      <c r="A158" s="5" t="n"/>
      <c r="B158" s="6" t="n"/>
      <c r="C158" s="5" t="n"/>
      <c r="D158" s="5" t="n"/>
      <c r="E158" s="5" t="n"/>
      <c r="F158" s="5" t="n"/>
      <c r="G158" s="5" t="n"/>
      <c r="H158" s="6" t="n"/>
      <c r="I158" s="5" t="n"/>
      <c r="J158" s="5" t="n"/>
      <c r="K158" s="5" t="n"/>
      <c r="L158" s="5" t="n"/>
    </row>
    <row r="159">
      <c r="A159" s="5" t="n"/>
      <c r="B159" s="6" t="n"/>
      <c r="C159" s="5" t="n"/>
      <c r="D159" s="5" t="n"/>
      <c r="E159" s="5" t="n"/>
      <c r="F159" s="5" t="n"/>
      <c r="G159" s="5" t="n"/>
      <c r="H159" s="6" t="n"/>
      <c r="I159" s="5" t="n"/>
      <c r="J159" s="5" t="n"/>
      <c r="K159" s="5" t="n"/>
      <c r="L159" s="5" t="n"/>
    </row>
    <row r="160">
      <c r="A160" s="5" t="n"/>
      <c r="B160" s="6" t="n"/>
      <c r="C160" s="5" t="n"/>
      <c r="D160" s="5" t="n"/>
      <c r="E160" s="5" t="n"/>
      <c r="F160" s="5" t="n"/>
      <c r="G160" s="5" t="n"/>
      <c r="H160" s="6" t="n"/>
      <c r="I160" s="5" t="n"/>
      <c r="J160" s="5" t="n"/>
      <c r="K160" s="5" t="n"/>
      <c r="L160" s="5" t="n"/>
    </row>
    <row r="161">
      <c r="A161" s="5" t="n"/>
      <c r="B161" s="6" t="n"/>
      <c r="C161" s="5" t="n"/>
      <c r="D161" s="5" t="n"/>
      <c r="E161" s="5" t="n"/>
      <c r="F161" s="5" t="n"/>
      <c r="G161" s="5" t="n"/>
      <c r="H161" s="6" t="n"/>
      <c r="I161" s="5" t="n"/>
      <c r="J161" s="5" t="n"/>
      <c r="K161" s="5" t="n"/>
      <c r="L161" s="5" t="n"/>
    </row>
    <row r="162">
      <c r="A162" s="5" t="n"/>
      <c r="B162" s="6" t="n"/>
      <c r="C162" s="5" t="n"/>
      <c r="D162" s="5" t="n"/>
      <c r="E162" s="5" t="n"/>
      <c r="F162" s="5" t="n"/>
      <c r="G162" s="5" t="n"/>
      <c r="H162" s="6" t="n"/>
      <c r="I162" s="5" t="n"/>
      <c r="J162" s="5" t="n"/>
      <c r="K162" s="5" t="n"/>
      <c r="L162" s="5" t="n"/>
    </row>
    <row r="163">
      <c r="A163" s="5" t="n"/>
      <c r="B163" s="6" t="n"/>
      <c r="C163" s="5" t="n"/>
      <c r="D163" s="5" t="n"/>
      <c r="E163" s="5" t="n"/>
      <c r="F163" s="5" t="n"/>
      <c r="G163" s="5" t="n"/>
      <c r="H163" s="6" t="n"/>
      <c r="I163" s="5" t="n"/>
      <c r="J163" s="5" t="n"/>
      <c r="K163" s="5" t="n"/>
      <c r="L163" s="5" t="n"/>
    </row>
    <row r="164">
      <c r="A164" s="5" t="n"/>
      <c r="B164" s="6" t="n"/>
      <c r="C164" s="5" t="n"/>
      <c r="D164" s="5" t="n"/>
      <c r="E164" s="5" t="n"/>
      <c r="F164" s="5" t="n"/>
      <c r="G164" s="5" t="n"/>
      <c r="H164" s="6" t="n"/>
      <c r="I164" s="5" t="n"/>
      <c r="J164" s="5" t="n"/>
      <c r="K164" s="5" t="n"/>
      <c r="L164" s="5" t="n"/>
    </row>
    <row r="165">
      <c r="A165" s="5" t="n"/>
      <c r="B165" s="6" t="n"/>
      <c r="C165" s="5" t="n"/>
      <c r="D165" s="5" t="n"/>
      <c r="E165" s="5" t="n"/>
      <c r="F165" s="5" t="n"/>
      <c r="G165" s="5" t="n"/>
      <c r="H165" s="6" t="n"/>
      <c r="I165" s="5" t="n"/>
      <c r="J165" s="5" t="n"/>
      <c r="K165" s="5" t="n"/>
      <c r="L165" s="5" t="n"/>
    </row>
    <row r="166">
      <c r="A166" s="5" t="n"/>
      <c r="B166" s="6" t="n"/>
      <c r="C166" s="5" t="n"/>
      <c r="D166" s="5" t="n"/>
      <c r="E166" s="5" t="n"/>
      <c r="F166" s="5" t="n"/>
      <c r="G166" s="5" t="n"/>
      <c r="H166" s="6" t="n"/>
      <c r="I166" s="5" t="n"/>
      <c r="J166" s="5" t="n"/>
      <c r="K166" s="5" t="n"/>
      <c r="L166" s="5" t="n"/>
    </row>
    <row r="167">
      <c r="A167" s="5" t="n"/>
      <c r="B167" s="6" t="n"/>
      <c r="C167" s="5" t="n"/>
      <c r="D167" s="5" t="n"/>
      <c r="E167" s="5" t="n"/>
      <c r="F167" s="5" t="n"/>
      <c r="G167" s="5" t="n"/>
      <c r="H167" s="6" t="n"/>
      <c r="I167" s="5" t="n"/>
      <c r="J167" s="5" t="n"/>
      <c r="K167" s="5" t="n"/>
      <c r="L167" s="5" t="n"/>
    </row>
    <row r="168">
      <c r="A168" s="5" t="n"/>
      <c r="B168" s="6" t="n"/>
      <c r="C168" s="5" t="n"/>
      <c r="D168" s="5" t="n"/>
      <c r="E168" s="5" t="n"/>
      <c r="F168" s="5" t="n"/>
      <c r="G168" s="5" t="n"/>
      <c r="H168" s="6" t="n"/>
      <c r="I168" s="5" t="n"/>
      <c r="J168" s="5" t="n"/>
      <c r="K168" s="5" t="n"/>
      <c r="L168" s="5" t="n"/>
    </row>
    <row r="169">
      <c r="A169" s="5" t="n"/>
      <c r="B169" s="6" t="n"/>
      <c r="C169" s="5" t="n"/>
      <c r="D169" s="5" t="n"/>
      <c r="E169" s="5" t="n"/>
      <c r="F169" s="5" t="n"/>
      <c r="G169" s="5" t="n"/>
      <c r="H169" s="6" t="n"/>
      <c r="I169" s="5" t="n"/>
      <c r="J169" s="5" t="n"/>
      <c r="K169" s="5" t="n"/>
      <c r="L169" s="5" t="n"/>
    </row>
    <row r="170">
      <c r="A170" s="5" t="n"/>
      <c r="B170" s="6" t="n"/>
      <c r="C170" s="5" t="n"/>
      <c r="D170" s="5" t="n"/>
      <c r="E170" s="5" t="n"/>
      <c r="F170" s="5" t="n"/>
      <c r="G170" s="5" t="n"/>
      <c r="H170" s="6" t="n"/>
      <c r="I170" s="5" t="n"/>
      <c r="J170" s="5" t="n"/>
      <c r="K170" s="5" t="n"/>
      <c r="L170" s="5" t="n"/>
    </row>
    <row r="171">
      <c r="A171" s="5" t="n"/>
      <c r="B171" s="6" t="n"/>
      <c r="C171" s="5" t="n"/>
      <c r="D171" s="5" t="n"/>
      <c r="E171" s="5" t="n"/>
      <c r="F171" s="5" t="n"/>
      <c r="G171" s="5" t="n"/>
      <c r="H171" s="6" t="n"/>
      <c r="I171" s="5" t="n"/>
      <c r="J171" s="5" t="n"/>
      <c r="K171" s="5" t="n"/>
      <c r="L171" s="5" t="n"/>
    </row>
    <row r="172">
      <c r="A172" s="5" t="n"/>
      <c r="B172" s="6" t="n"/>
      <c r="C172" s="5" t="n"/>
      <c r="D172" s="5" t="n"/>
      <c r="E172" s="5" t="n"/>
      <c r="F172" s="5" t="n"/>
      <c r="G172" s="5" t="n"/>
      <c r="H172" s="6" t="n"/>
      <c r="I172" s="5" t="n"/>
      <c r="J172" s="5" t="n"/>
      <c r="K172" s="5" t="n"/>
      <c r="L172" s="5" t="n"/>
    </row>
    <row r="173">
      <c r="A173" s="5" t="n"/>
      <c r="B173" s="6" t="n"/>
      <c r="C173" s="5" t="n"/>
      <c r="D173" s="5" t="n"/>
      <c r="E173" s="5" t="n"/>
      <c r="F173" s="5" t="n"/>
      <c r="G173" s="5" t="n"/>
      <c r="H173" s="6" t="n"/>
      <c r="I173" s="5" t="n"/>
      <c r="J173" s="5" t="n"/>
      <c r="K173" s="5" t="n"/>
      <c r="L173" s="5" t="n"/>
    </row>
    <row r="174">
      <c r="A174" s="5" t="n"/>
      <c r="B174" s="6" t="n"/>
      <c r="C174" s="5" t="n"/>
      <c r="D174" s="5" t="n"/>
      <c r="E174" s="5" t="n"/>
      <c r="F174" s="5" t="n"/>
      <c r="G174" s="5" t="n"/>
      <c r="H174" s="6" t="n"/>
      <c r="I174" s="5" t="n"/>
      <c r="J174" s="5" t="n"/>
      <c r="K174" s="5" t="n"/>
      <c r="L174" s="5" t="n"/>
    </row>
    <row r="175">
      <c r="A175" s="5" t="n"/>
      <c r="B175" s="6" t="n"/>
      <c r="C175" s="5" t="n"/>
      <c r="D175" s="5" t="n"/>
      <c r="E175" s="5" t="n"/>
      <c r="F175" s="5" t="n"/>
      <c r="G175" s="5" t="n"/>
      <c r="H175" s="6" t="n"/>
      <c r="I175" s="5" t="n"/>
      <c r="J175" s="5" t="n"/>
      <c r="K175" s="5" t="n"/>
      <c r="L175" s="5" t="n"/>
    </row>
    <row r="176">
      <c r="A176" s="5" t="n"/>
      <c r="B176" s="6" t="n"/>
      <c r="C176" s="5" t="n"/>
      <c r="D176" s="5" t="n"/>
      <c r="E176" s="5" t="n"/>
      <c r="F176" s="5" t="n"/>
      <c r="G176" s="5" t="n"/>
      <c r="H176" s="6" t="n"/>
      <c r="I176" s="5" t="n"/>
      <c r="J176" s="5" t="n"/>
      <c r="K176" s="5" t="n"/>
      <c r="L176" s="5" t="n"/>
    </row>
    <row r="177">
      <c r="A177" s="5" t="n"/>
      <c r="B177" s="6" t="n"/>
      <c r="C177" s="5" t="n"/>
      <c r="D177" s="5" t="n"/>
      <c r="E177" s="5" t="n"/>
      <c r="F177" s="5" t="n"/>
      <c r="G177" s="5" t="n"/>
      <c r="H177" s="6" t="n"/>
      <c r="I177" s="5" t="n"/>
      <c r="J177" s="5" t="n"/>
      <c r="K177" s="5" t="n"/>
      <c r="L177" s="5" t="n"/>
    </row>
    <row r="178">
      <c r="A178" s="5" t="n"/>
      <c r="B178" s="6" t="n"/>
      <c r="C178" s="5" t="n"/>
      <c r="D178" s="5" t="n"/>
      <c r="E178" s="5" t="n"/>
      <c r="F178" s="5" t="n"/>
      <c r="G178" s="5" t="n"/>
      <c r="H178" s="6" t="n"/>
      <c r="I178" s="5" t="n"/>
      <c r="J178" s="5" t="n"/>
      <c r="K178" s="5" t="n"/>
      <c r="L178" s="5" t="n"/>
    </row>
    <row r="179">
      <c r="A179" s="5" t="n"/>
      <c r="B179" s="6" t="n"/>
      <c r="C179" s="5" t="n"/>
      <c r="D179" s="5" t="n"/>
      <c r="E179" s="5" t="n"/>
      <c r="F179" s="5" t="n"/>
      <c r="G179" s="5" t="n"/>
      <c r="H179" s="6" t="n"/>
      <c r="I179" s="5" t="n"/>
      <c r="J179" s="5" t="n"/>
      <c r="K179" s="5" t="n"/>
      <c r="L179" s="5" t="n"/>
    </row>
    <row r="180">
      <c r="A180" s="5" t="n"/>
      <c r="B180" s="6" t="n"/>
      <c r="C180" s="5" t="n"/>
      <c r="D180" s="5" t="n"/>
      <c r="E180" s="5" t="n"/>
      <c r="F180" s="5" t="n"/>
      <c r="G180" s="5" t="n"/>
      <c r="H180" s="6" t="n"/>
      <c r="I180" s="5" t="n"/>
      <c r="J180" s="5" t="n"/>
      <c r="K180" s="5" t="n"/>
      <c r="L180" s="5" t="n"/>
    </row>
    <row r="181">
      <c r="A181" s="5" t="n"/>
      <c r="B181" s="6" t="n"/>
      <c r="C181" s="5" t="n"/>
      <c r="D181" s="5" t="n"/>
      <c r="E181" s="5" t="n"/>
      <c r="F181" s="5" t="n"/>
      <c r="G181" s="5" t="n"/>
      <c r="H181" s="6" t="n"/>
      <c r="I181" s="5" t="n"/>
      <c r="J181" s="5" t="n"/>
      <c r="K181" s="5" t="n"/>
      <c r="L181" s="5" t="n"/>
    </row>
    <row r="182">
      <c r="A182" s="5" t="n"/>
      <c r="B182" s="6" t="n"/>
      <c r="C182" s="5" t="n"/>
      <c r="D182" s="5" t="n"/>
      <c r="E182" s="5" t="n"/>
      <c r="F182" s="5" t="n"/>
      <c r="G182" s="5" t="n"/>
      <c r="H182" s="6" t="n"/>
      <c r="I182" s="5" t="n"/>
      <c r="J182" s="5" t="n"/>
      <c r="K182" s="5" t="n"/>
      <c r="L182" s="5" t="n"/>
    </row>
    <row r="183">
      <c r="A183" s="5" t="n"/>
      <c r="B183" s="6" t="n"/>
      <c r="C183" s="5" t="n"/>
      <c r="D183" s="5" t="n"/>
      <c r="E183" s="5" t="n"/>
      <c r="F183" s="5" t="n"/>
      <c r="G183" s="5" t="n"/>
      <c r="H183" s="6" t="n"/>
      <c r="I183" s="5" t="n"/>
      <c r="J183" s="5" t="n"/>
      <c r="K183" s="5" t="n"/>
      <c r="L183" s="5" t="n"/>
    </row>
    <row r="184">
      <c r="A184" s="5" t="n"/>
      <c r="B184" s="6" t="n"/>
      <c r="C184" s="5" t="n"/>
      <c r="D184" s="5" t="n"/>
      <c r="E184" s="5" t="n"/>
      <c r="F184" s="5" t="n"/>
      <c r="G184" s="5" t="n"/>
      <c r="H184" s="6" t="n"/>
      <c r="I184" s="5" t="n"/>
      <c r="J184" s="5" t="n"/>
      <c r="K184" s="5" t="n"/>
      <c r="L184" s="5" t="n"/>
    </row>
    <row r="185">
      <c r="A185" s="5" t="n"/>
      <c r="B185" s="6" t="n"/>
      <c r="C185" s="5" t="n"/>
      <c r="D185" s="5" t="n"/>
      <c r="E185" s="5" t="n"/>
      <c r="F185" s="5" t="n"/>
      <c r="G185" s="5" t="n"/>
      <c r="H185" s="6" t="n"/>
      <c r="I185" s="5" t="n"/>
      <c r="J185" s="5" t="n"/>
      <c r="K185" s="5" t="n"/>
      <c r="L185" s="5" t="n"/>
    </row>
    <row r="186">
      <c r="A186" s="5" t="n"/>
      <c r="B186" s="6" t="n"/>
      <c r="C186" s="5" t="n"/>
      <c r="D186" s="5" t="n"/>
      <c r="E186" s="5" t="n"/>
      <c r="F186" s="5" t="n"/>
      <c r="G186" s="5" t="n"/>
      <c r="H186" s="6" t="n"/>
      <c r="I186" s="5" t="n"/>
      <c r="J186" s="5" t="n"/>
      <c r="K186" s="5" t="n"/>
      <c r="L186" s="5" t="n"/>
    </row>
    <row r="187">
      <c r="A187" s="5" t="n"/>
      <c r="B187" s="6" t="n"/>
      <c r="C187" s="5" t="n"/>
      <c r="D187" s="5" t="n"/>
      <c r="E187" s="5" t="n"/>
      <c r="F187" s="5" t="n"/>
      <c r="G187" s="5" t="n"/>
      <c r="H187" s="6" t="n"/>
      <c r="I187" s="5" t="n"/>
      <c r="J187" s="5" t="n"/>
      <c r="K187" s="5" t="n"/>
      <c r="L187" s="5" t="n"/>
    </row>
    <row r="188">
      <c r="A188" s="5" t="n"/>
      <c r="B188" s="6" t="n"/>
      <c r="C188" s="5" t="n"/>
      <c r="D188" s="5" t="n"/>
      <c r="E188" s="5" t="n"/>
      <c r="F188" s="5" t="n"/>
      <c r="G188" s="5" t="n"/>
      <c r="H188" s="6" t="n"/>
      <c r="I188" s="5" t="n"/>
      <c r="J188" s="5" t="n"/>
      <c r="K188" s="5" t="n"/>
      <c r="L188" s="5" t="n"/>
    </row>
    <row r="189">
      <c r="A189" s="5" t="n"/>
      <c r="B189" s="6" t="n"/>
      <c r="C189" s="5" t="n"/>
      <c r="D189" s="5" t="n"/>
      <c r="E189" s="5" t="n"/>
      <c r="F189" s="5" t="n"/>
      <c r="G189" s="5" t="n"/>
      <c r="H189" s="6" t="n"/>
      <c r="I189" s="5" t="n"/>
      <c r="J189" s="5" t="n"/>
      <c r="K189" s="5" t="n"/>
      <c r="L189" s="5" t="n"/>
    </row>
    <row r="190">
      <c r="A190" s="5" t="n"/>
      <c r="B190" s="6" t="n"/>
      <c r="C190" s="5" t="n"/>
      <c r="D190" s="5" t="n"/>
      <c r="E190" s="5" t="n"/>
      <c r="F190" s="5" t="n"/>
      <c r="G190" s="5" t="n"/>
      <c r="H190" s="6" t="n"/>
      <c r="I190" s="5" t="n"/>
      <c r="J190" s="5" t="n"/>
      <c r="K190" s="5" t="n"/>
      <c r="L190" s="5" t="n"/>
    </row>
    <row r="191">
      <c r="A191" s="5" t="n"/>
      <c r="B191" s="6" t="n"/>
      <c r="C191" s="5" t="n"/>
      <c r="D191" s="5" t="n"/>
      <c r="E191" s="5" t="n"/>
      <c r="F191" s="5" t="n"/>
      <c r="G191" s="5" t="n"/>
      <c r="H191" s="6" t="n"/>
      <c r="I191" s="5" t="n"/>
      <c r="J191" s="5" t="n"/>
      <c r="K191" s="5" t="n"/>
      <c r="L191" s="5" t="n"/>
    </row>
    <row r="192">
      <c r="A192" s="5" t="n"/>
      <c r="B192" s="6" t="n"/>
      <c r="C192" s="5" t="n"/>
      <c r="D192" s="5" t="n"/>
      <c r="E192" s="5" t="n"/>
      <c r="F192" s="5" t="n"/>
      <c r="G192" s="5" t="n"/>
      <c r="H192" s="6" t="n"/>
      <c r="I192" s="5" t="n"/>
      <c r="J192" s="5" t="n"/>
      <c r="K192" s="5" t="n"/>
      <c r="L192" s="5" t="n"/>
    </row>
    <row r="193">
      <c r="A193" s="5" t="n"/>
      <c r="B193" s="6" t="n"/>
      <c r="C193" s="5" t="n"/>
      <c r="D193" s="5" t="n"/>
      <c r="E193" s="5" t="n"/>
      <c r="F193" s="5" t="n"/>
      <c r="G193" s="5" t="n"/>
      <c r="H193" s="6" t="n"/>
      <c r="I193" s="5" t="n"/>
      <c r="J193" s="5" t="n"/>
      <c r="K193" s="5" t="n"/>
      <c r="L193" s="5" t="n"/>
    </row>
    <row r="194">
      <c r="A194" s="5" t="n"/>
      <c r="B194" s="6" t="n"/>
      <c r="C194" s="5" t="n"/>
      <c r="D194" s="5" t="n"/>
      <c r="E194" s="5" t="n"/>
      <c r="F194" s="5" t="n"/>
      <c r="G194" s="5" t="n"/>
      <c r="H194" s="6" t="n"/>
      <c r="I194" s="5" t="n"/>
      <c r="J194" s="5" t="n"/>
      <c r="K194" s="5" t="n"/>
      <c r="L194" s="5" t="n"/>
    </row>
    <row r="195">
      <c r="A195" s="5" t="n"/>
      <c r="B195" s="6" t="n"/>
      <c r="C195" s="5" t="n"/>
      <c r="D195" s="5" t="n"/>
      <c r="E195" s="5" t="n"/>
      <c r="F195" s="5" t="n"/>
      <c r="G195" s="5" t="n"/>
      <c r="H195" s="6" t="n"/>
      <c r="I195" s="5" t="n"/>
      <c r="J195" s="5" t="n"/>
      <c r="K195" s="5" t="n"/>
      <c r="L195" s="5" t="n"/>
    </row>
    <row r="196">
      <c r="A196" s="5" t="n"/>
      <c r="B196" s="6" t="n"/>
      <c r="C196" s="5" t="n"/>
      <c r="D196" s="5" t="n"/>
      <c r="E196" s="5" t="n"/>
      <c r="F196" s="5" t="n"/>
      <c r="G196" s="5" t="n"/>
      <c r="H196" s="6" t="n"/>
      <c r="I196" s="5" t="n"/>
      <c r="J196" s="5" t="n"/>
      <c r="K196" s="5" t="n"/>
      <c r="L196" s="5" t="n"/>
    </row>
    <row r="197">
      <c r="A197" s="5" t="n"/>
      <c r="B197" s="6" t="n"/>
      <c r="C197" s="5" t="n"/>
      <c r="D197" s="5" t="n"/>
      <c r="E197" s="5" t="n"/>
      <c r="F197" s="5" t="n"/>
      <c r="G197" s="5" t="n"/>
      <c r="H197" s="6" t="n"/>
      <c r="I197" s="5" t="n"/>
      <c r="J197" s="5" t="n"/>
      <c r="K197" s="5" t="n"/>
      <c r="L197" s="5" t="n"/>
    </row>
    <row r="198">
      <c r="A198" s="5" t="n"/>
      <c r="B198" s="6" t="n"/>
      <c r="C198" s="5" t="n"/>
      <c r="D198" s="5" t="n"/>
      <c r="E198" s="5" t="n"/>
      <c r="F198" s="5" t="n"/>
      <c r="G198" s="5" t="n"/>
      <c r="H198" s="6" t="n"/>
      <c r="I198" s="5" t="n"/>
      <c r="J198" s="5" t="n"/>
      <c r="K198" s="5" t="n"/>
      <c r="L198" s="5" t="n"/>
    </row>
    <row r="199">
      <c r="A199" s="5" t="n"/>
      <c r="B199" s="6" t="n"/>
      <c r="C199" s="5" t="n"/>
      <c r="D199" s="5" t="n"/>
      <c r="E199" s="5" t="n"/>
      <c r="F199" s="5" t="n"/>
      <c r="G199" s="5" t="n"/>
      <c r="H199" s="6" t="n"/>
      <c r="I199" s="5" t="n"/>
      <c r="J199" s="5" t="n"/>
      <c r="K199" s="5" t="n"/>
      <c r="L199" s="5" t="n"/>
    </row>
    <row r="200">
      <c r="A200" s="5" t="n"/>
      <c r="B200" s="6" t="n"/>
      <c r="C200" s="5" t="n"/>
      <c r="D200" s="5" t="n"/>
      <c r="E200" s="5" t="n"/>
      <c r="F200" s="5" t="n"/>
      <c r="G200" s="5" t="n"/>
      <c r="H200" s="6" t="n"/>
      <c r="I200" s="5" t="n"/>
      <c r="J200" s="5" t="n"/>
      <c r="K200" s="5" t="n"/>
      <c r="L200" s="5" t="n"/>
    </row>
    <row r="201">
      <c r="A201" s="5" t="n"/>
      <c r="B201" s="6" t="n"/>
      <c r="C201" s="5" t="n"/>
      <c r="D201" s="5" t="n"/>
      <c r="E201" s="5" t="n"/>
      <c r="F201" s="5" t="n"/>
      <c r="G201" s="5" t="n"/>
      <c r="H201" s="6" t="n"/>
      <c r="I201" s="5" t="n"/>
      <c r="J201" s="5" t="n"/>
      <c r="K201" s="5" t="n"/>
      <c r="L201" s="5" t="n"/>
    </row>
    <row r="202">
      <c r="A202" s="5" t="n"/>
      <c r="B202" s="6" t="n"/>
      <c r="C202" s="5" t="n"/>
      <c r="D202" s="5" t="n"/>
      <c r="E202" s="5" t="n"/>
      <c r="F202" s="5" t="n"/>
      <c r="G202" s="5" t="n"/>
      <c r="H202" s="6" t="n"/>
      <c r="I202" s="5" t="n"/>
      <c r="J202" s="5" t="n"/>
      <c r="K202" s="5" t="n"/>
      <c r="L202" s="5" t="n"/>
    </row>
    <row r="203">
      <c r="A203" s="5" t="n"/>
      <c r="B203" s="6" t="n"/>
      <c r="C203" s="5" t="n"/>
      <c r="D203" s="5" t="n"/>
      <c r="E203" s="5" t="n"/>
      <c r="F203" s="5" t="n"/>
      <c r="G203" s="5" t="n"/>
      <c r="H203" s="6" t="n"/>
      <c r="I203" s="5" t="n"/>
      <c r="J203" s="5" t="n"/>
      <c r="K203" s="5" t="n"/>
      <c r="L203" s="5" t="n"/>
    </row>
    <row r="204">
      <c r="A204" s="5" t="n"/>
      <c r="B204" s="6" t="n"/>
      <c r="C204" s="5" t="n"/>
      <c r="D204" s="5" t="n"/>
      <c r="E204" s="5" t="n"/>
      <c r="F204" s="5" t="n"/>
      <c r="G204" s="5" t="n"/>
      <c r="H204" s="6" t="n"/>
      <c r="I204" s="5" t="n"/>
      <c r="J204" s="5" t="n"/>
      <c r="K204" s="5" t="n"/>
      <c r="L204" s="5" t="n"/>
    </row>
    <row r="205">
      <c r="A205" s="5" t="n"/>
      <c r="B205" s="6" t="n"/>
      <c r="C205" s="5" t="n"/>
      <c r="D205" s="5" t="n"/>
      <c r="E205" s="5" t="n"/>
      <c r="F205" s="5" t="n"/>
      <c r="G205" s="5" t="n"/>
      <c r="H205" s="6" t="n"/>
      <c r="I205" s="5" t="n"/>
      <c r="J205" s="5" t="n"/>
      <c r="K205" s="5" t="n"/>
      <c r="L205" s="5" t="n"/>
    </row>
    <row r="206">
      <c r="A206" s="5" t="n"/>
      <c r="B206" s="6" t="n"/>
      <c r="C206" s="5" t="n"/>
      <c r="D206" s="5" t="n"/>
      <c r="E206" s="5" t="n"/>
      <c r="F206" s="5" t="n"/>
      <c r="G206" s="5" t="n"/>
      <c r="H206" s="6" t="n"/>
      <c r="I206" s="5" t="n"/>
      <c r="J206" s="5" t="n"/>
      <c r="K206" s="5" t="n"/>
      <c r="L206" s="5" t="n"/>
    </row>
    <row r="207">
      <c r="A207" s="5" t="n"/>
      <c r="B207" s="6" t="n"/>
      <c r="C207" s="5" t="n"/>
      <c r="D207" s="5" t="n"/>
      <c r="E207" s="5" t="n"/>
      <c r="F207" s="5" t="n"/>
      <c r="G207" s="5" t="n"/>
      <c r="H207" s="6" t="n"/>
      <c r="I207" s="5" t="n"/>
      <c r="J207" s="5" t="n"/>
      <c r="K207" s="5" t="n"/>
      <c r="L207" s="5" t="n"/>
    </row>
    <row r="208">
      <c r="A208" s="5" t="n"/>
      <c r="B208" s="6" t="n"/>
      <c r="C208" s="5" t="n"/>
      <c r="D208" s="5" t="n"/>
      <c r="E208" s="5" t="n"/>
      <c r="F208" s="5" t="n"/>
      <c r="G208" s="5" t="n"/>
      <c r="H208" s="6" t="n"/>
      <c r="I208" s="5" t="n"/>
      <c r="J208" s="5" t="n"/>
      <c r="K208" s="5" t="n"/>
      <c r="L208" s="5" t="n"/>
    </row>
    <row r="209">
      <c r="A209" s="5" t="n"/>
      <c r="B209" s="6" t="n"/>
      <c r="C209" s="5" t="n"/>
      <c r="D209" s="5" t="n"/>
      <c r="E209" s="5" t="n"/>
      <c r="F209" s="5" t="n"/>
      <c r="G209" s="5" t="n"/>
      <c r="H209" s="6" t="n"/>
      <c r="I209" s="5" t="n"/>
      <c r="J209" s="5" t="n"/>
      <c r="K209" s="5" t="n"/>
      <c r="L209" s="5" t="n"/>
    </row>
    <row r="210">
      <c r="A210" s="5" t="n"/>
      <c r="B210" s="6" t="n"/>
      <c r="C210" s="5" t="n"/>
      <c r="D210" s="5" t="n"/>
      <c r="E210" s="5" t="n"/>
      <c r="F210" s="5" t="n"/>
      <c r="G210" s="5" t="n"/>
      <c r="H210" s="6" t="n"/>
      <c r="I210" s="5" t="n"/>
      <c r="J210" s="5" t="n"/>
      <c r="K210" s="5" t="n"/>
      <c r="L210" s="5" t="n"/>
    </row>
    <row r="211">
      <c r="A211" s="5" t="n"/>
      <c r="B211" s="6" t="n"/>
      <c r="C211" s="5" t="n"/>
      <c r="D211" s="5" t="n"/>
      <c r="E211" s="5" t="n"/>
      <c r="F211" s="5" t="n"/>
      <c r="G211" s="5" t="n"/>
      <c r="H211" s="6" t="n"/>
      <c r="I211" s="5" t="n"/>
      <c r="J211" s="5" t="n"/>
      <c r="K211" s="5" t="n"/>
      <c r="L211" s="5" t="n"/>
    </row>
    <row r="212">
      <c r="A212" s="5" t="n"/>
      <c r="B212" s="6" t="n"/>
      <c r="C212" s="5" t="n"/>
      <c r="D212" s="5" t="n"/>
      <c r="E212" s="5" t="n"/>
      <c r="F212" s="5" t="n"/>
      <c r="G212" s="5" t="n"/>
      <c r="H212" s="6" t="n"/>
      <c r="I212" s="5" t="n"/>
      <c r="J212" s="5" t="n"/>
      <c r="K212" s="5" t="n"/>
      <c r="L212" s="5" t="n"/>
    </row>
    <row r="213">
      <c r="A213" s="5" t="n"/>
      <c r="B213" s="6" t="n"/>
      <c r="C213" s="5" t="n"/>
      <c r="D213" s="5" t="n"/>
      <c r="E213" s="5" t="n"/>
      <c r="F213" s="5" t="n"/>
      <c r="G213" s="5" t="n"/>
      <c r="H213" s="6" t="n"/>
      <c r="I213" s="5" t="n"/>
      <c r="J213" s="5" t="n"/>
      <c r="K213" s="5" t="n"/>
      <c r="L213" s="5" t="n"/>
    </row>
    <row r="214">
      <c r="A214" s="5" t="n"/>
      <c r="B214" s="6" t="n"/>
      <c r="C214" s="5" t="n"/>
      <c r="D214" s="5" t="n"/>
      <c r="E214" s="5" t="n"/>
      <c r="F214" s="5" t="n"/>
      <c r="G214" s="5" t="n"/>
      <c r="H214" s="6" t="n"/>
      <c r="I214" s="5" t="n"/>
      <c r="J214" s="5" t="n"/>
      <c r="K214" s="5" t="n"/>
      <c r="L214" s="5" t="n"/>
    </row>
    <row r="215">
      <c r="A215" s="5" t="n"/>
      <c r="B215" s="6" t="n"/>
      <c r="C215" s="5" t="n"/>
      <c r="D215" s="5" t="n"/>
      <c r="E215" s="5" t="n"/>
      <c r="F215" s="5" t="n"/>
      <c r="G215" s="5" t="n"/>
      <c r="H215" s="6" t="n"/>
      <c r="I215" s="5" t="n"/>
      <c r="J215" s="5" t="n"/>
      <c r="K215" s="5" t="n"/>
      <c r="L215" s="5" t="n"/>
    </row>
    <row r="216">
      <c r="A216" s="5" t="n"/>
      <c r="B216" s="6" t="n"/>
      <c r="C216" s="5" t="n"/>
      <c r="D216" s="5" t="n"/>
      <c r="E216" s="5" t="n"/>
      <c r="F216" s="5" t="n"/>
      <c r="G216" s="5" t="n"/>
      <c r="H216" s="6" t="n"/>
      <c r="I216" s="5" t="n"/>
      <c r="J216" s="5" t="n"/>
      <c r="K216" s="5" t="n"/>
      <c r="L216" s="5" t="n"/>
    </row>
    <row r="217">
      <c r="A217" s="5" t="n"/>
      <c r="B217" s="6" t="n"/>
      <c r="C217" s="5" t="n"/>
      <c r="D217" s="5" t="n"/>
      <c r="E217" s="5" t="n"/>
      <c r="F217" s="5" t="n"/>
      <c r="G217" s="5" t="n"/>
      <c r="H217" s="6" t="n"/>
      <c r="I217" s="5" t="n"/>
      <c r="J217" s="5" t="n"/>
      <c r="K217" s="5" t="n"/>
      <c r="L217" s="5" t="n"/>
    </row>
    <row r="218">
      <c r="A218" s="5" t="n"/>
      <c r="B218" s="6" t="n"/>
      <c r="C218" s="5" t="n"/>
      <c r="D218" s="5" t="n"/>
      <c r="E218" s="5" t="n"/>
      <c r="F218" s="5" t="n"/>
      <c r="G218" s="5" t="n"/>
      <c r="H218" s="6" t="n"/>
      <c r="I218" s="5" t="n"/>
      <c r="J218" s="5" t="n"/>
      <c r="K218" s="5" t="n"/>
      <c r="L218" s="5" t="n"/>
    </row>
    <row r="219">
      <c r="A219" s="5" t="n"/>
      <c r="B219" s="6" t="n"/>
      <c r="C219" s="5" t="n"/>
      <c r="D219" s="5" t="n"/>
      <c r="E219" s="5" t="n"/>
      <c r="F219" s="5" t="n"/>
      <c r="G219" s="5" t="n"/>
      <c r="H219" s="6" t="n"/>
      <c r="I219" s="5" t="n"/>
      <c r="J219" s="5" t="n"/>
      <c r="K219" s="5" t="n"/>
      <c r="L219" s="5" t="n"/>
    </row>
    <row r="220">
      <c r="A220" s="5" t="n"/>
      <c r="B220" s="6" t="n"/>
      <c r="C220" s="5" t="n"/>
      <c r="D220" s="5" t="n"/>
      <c r="E220" s="5" t="n"/>
      <c r="F220" s="5" t="n"/>
      <c r="G220" s="5" t="n"/>
      <c r="H220" s="6" t="n"/>
      <c r="I220" s="5" t="n"/>
      <c r="J220" s="5" t="n"/>
      <c r="K220" s="5" t="n"/>
      <c r="L220" s="5" t="n"/>
    </row>
    <row r="221">
      <c r="A221" s="5" t="n"/>
      <c r="B221" s="6" t="n"/>
      <c r="C221" s="5" t="n"/>
      <c r="D221" s="5" t="n"/>
      <c r="E221" s="5" t="n"/>
      <c r="F221" s="5" t="n"/>
      <c r="G221" s="5" t="n"/>
      <c r="H221" s="6" t="n"/>
      <c r="I221" s="5" t="n"/>
      <c r="J221" s="5" t="n"/>
      <c r="K221" s="5" t="n"/>
      <c r="L221" s="5" t="n"/>
    </row>
    <row r="222">
      <c r="A222" s="5" t="n"/>
      <c r="B222" s="6" t="n"/>
      <c r="C222" s="5" t="n"/>
      <c r="D222" s="5" t="n"/>
      <c r="E222" s="5" t="n"/>
      <c r="F222" s="5" t="n"/>
      <c r="G222" s="5" t="n"/>
      <c r="H222" s="6" t="n"/>
      <c r="I222" s="5" t="n"/>
      <c r="J222" s="5" t="n"/>
      <c r="K222" s="5" t="n"/>
      <c r="L222" s="5" t="n"/>
    </row>
    <row r="223">
      <c r="A223" s="5" t="n"/>
      <c r="B223" s="6" t="n"/>
      <c r="C223" s="5" t="n"/>
      <c r="D223" s="5" t="n"/>
      <c r="E223" s="5" t="n"/>
      <c r="F223" s="5" t="n"/>
      <c r="G223" s="5" t="n"/>
      <c r="H223" s="6" t="n"/>
      <c r="I223" s="5" t="n"/>
      <c r="J223" s="5" t="n"/>
      <c r="K223" s="5" t="n"/>
      <c r="L223" s="5" t="n"/>
    </row>
    <row r="224">
      <c r="A224" s="5" t="n"/>
      <c r="B224" s="6" t="n"/>
      <c r="C224" s="5" t="n"/>
      <c r="D224" s="5" t="n"/>
      <c r="E224" s="5" t="n"/>
      <c r="F224" s="5" t="n"/>
      <c r="G224" s="5" t="n"/>
      <c r="H224" s="6" t="n"/>
      <c r="I224" s="5" t="n"/>
      <c r="J224" s="5" t="n"/>
      <c r="K224" s="5" t="n"/>
      <c r="L224" s="5" t="n"/>
    </row>
    <row r="225">
      <c r="A225" s="5" t="n"/>
      <c r="B225" s="6" t="n"/>
      <c r="C225" s="5" t="n"/>
      <c r="D225" s="5" t="n"/>
      <c r="E225" s="5" t="n"/>
      <c r="F225" s="5" t="n"/>
      <c r="G225" s="5" t="n"/>
      <c r="H225" s="6" t="n"/>
      <c r="I225" s="5" t="n"/>
      <c r="J225" s="5" t="n"/>
      <c r="K225" s="5" t="n"/>
      <c r="L225" s="5" t="n"/>
    </row>
    <row r="226">
      <c r="A226" s="5" t="n"/>
      <c r="B226" s="6" t="n"/>
      <c r="C226" s="5" t="n"/>
      <c r="D226" s="5" t="n"/>
      <c r="E226" s="5" t="n"/>
      <c r="F226" s="5" t="n"/>
      <c r="G226" s="5" t="n"/>
      <c r="H226" s="6" t="n"/>
      <c r="I226" s="5" t="n"/>
      <c r="J226" s="5" t="n"/>
      <c r="K226" s="5" t="n"/>
      <c r="L226" s="5" t="n"/>
    </row>
    <row r="227">
      <c r="A227" s="5" t="n"/>
      <c r="B227" s="6" t="n"/>
      <c r="C227" s="5" t="n"/>
      <c r="D227" s="5" t="n"/>
      <c r="E227" s="5" t="n"/>
      <c r="F227" s="5" t="n"/>
      <c r="G227" s="5" t="n"/>
      <c r="H227" s="6" t="n"/>
      <c r="I227" s="5" t="n"/>
      <c r="J227" s="5" t="n"/>
      <c r="K227" s="5" t="n"/>
      <c r="L227" s="5" t="n"/>
    </row>
    <row r="228">
      <c r="A228" s="5" t="n"/>
      <c r="B228" s="6" t="n"/>
      <c r="C228" s="5" t="n"/>
      <c r="D228" s="5" t="n"/>
      <c r="E228" s="5" t="n"/>
      <c r="F228" s="5" t="n"/>
      <c r="G228" s="5" t="n"/>
      <c r="H228" s="6" t="n"/>
      <c r="I228" s="5" t="n"/>
      <c r="J228" s="5" t="n"/>
      <c r="K228" s="5" t="n"/>
      <c r="L228" s="5" t="n"/>
    </row>
    <row r="229">
      <c r="A229" s="5" t="n"/>
      <c r="B229" s="6" t="n"/>
      <c r="C229" s="5" t="n"/>
      <c r="D229" s="5" t="n"/>
      <c r="E229" s="5" t="n"/>
      <c r="F229" s="5" t="n"/>
      <c r="G229" s="5" t="n"/>
      <c r="H229" s="6" t="n"/>
      <c r="I229" s="5" t="n"/>
      <c r="J229" s="5" t="n"/>
      <c r="K229" s="5" t="n"/>
      <c r="L229" s="5" t="n"/>
    </row>
    <row r="230">
      <c r="A230" s="5" t="n"/>
      <c r="B230" s="6" t="n"/>
      <c r="C230" s="5" t="n"/>
      <c r="D230" s="5" t="n"/>
      <c r="E230" s="5" t="n"/>
      <c r="F230" s="5" t="n"/>
      <c r="G230" s="5" t="n"/>
      <c r="H230" s="6" t="n"/>
      <c r="I230" s="5" t="n"/>
      <c r="J230" s="5" t="n"/>
      <c r="K230" s="5" t="n"/>
      <c r="L230" s="5" t="n"/>
    </row>
    <row r="231">
      <c r="A231" s="5" t="n"/>
      <c r="B231" s="6" t="n"/>
      <c r="C231" s="5" t="n"/>
      <c r="D231" s="5" t="n"/>
      <c r="E231" s="5" t="n"/>
      <c r="F231" s="5" t="n"/>
      <c r="G231" s="5" t="n"/>
      <c r="H231" s="6" t="n"/>
      <c r="I231" s="5" t="n"/>
      <c r="J231" s="5" t="n"/>
      <c r="K231" s="5" t="n"/>
      <c r="L231" s="5" t="n"/>
    </row>
    <row r="232">
      <c r="A232" s="5" t="n"/>
      <c r="B232" s="6" t="n"/>
      <c r="C232" s="5" t="n"/>
      <c r="D232" s="5" t="n"/>
      <c r="E232" s="5" t="n"/>
      <c r="F232" s="5" t="n"/>
      <c r="G232" s="5" t="n"/>
      <c r="H232" s="6" t="n"/>
      <c r="I232" s="5" t="n"/>
      <c r="J232" s="5" t="n"/>
      <c r="K232" s="5" t="n"/>
      <c r="L232" s="5" t="n"/>
    </row>
    <row r="233">
      <c r="A233" s="5" t="n"/>
      <c r="B233" s="6" t="n"/>
      <c r="C233" s="5" t="n"/>
      <c r="D233" s="5" t="n"/>
      <c r="E233" s="5" t="n"/>
      <c r="F233" s="5" t="n"/>
      <c r="G233" s="5" t="n"/>
      <c r="H233" s="6" t="n"/>
      <c r="I233" s="5" t="n"/>
      <c r="J233" s="5" t="n"/>
      <c r="K233" s="5" t="n"/>
      <c r="L233" s="5" t="n"/>
    </row>
    <row r="234">
      <c r="A234" s="5" t="n"/>
      <c r="B234" s="6" t="n"/>
      <c r="C234" s="5" t="n"/>
      <c r="D234" s="5" t="n"/>
      <c r="E234" s="5" t="n"/>
      <c r="F234" s="5" t="n"/>
      <c r="G234" s="5" t="n"/>
      <c r="H234" s="6" t="n"/>
      <c r="I234" s="5" t="n"/>
      <c r="J234" s="5" t="n"/>
      <c r="K234" s="5" t="n"/>
      <c r="L234" s="5" t="n"/>
    </row>
    <row r="235">
      <c r="A235" s="5" t="n"/>
      <c r="B235" s="6" t="n"/>
      <c r="C235" s="5" t="n"/>
      <c r="D235" s="5" t="n"/>
      <c r="E235" s="5" t="n"/>
      <c r="F235" s="5" t="n"/>
      <c r="G235" s="5" t="n"/>
      <c r="H235" s="6" t="n"/>
      <c r="I235" s="5" t="n"/>
      <c r="J235" s="5" t="n"/>
      <c r="K235" s="5" t="n"/>
      <c r="L235" s="5" t="n"/>
    </row>
    <row r="236">
      <c r="A236" s="5" t="n"/>
      <c r="B236" s="6" t="n"/>
      <c r="C236" s="5" t="n"/>
      <c r="D236" s="5" t="n"/>
      <c r="E236" s="5" t="n"/>
      <c r="F236" s="5" t="n"/>
      <c r="G236" s="5" t="n"/>
      <c r="H236" s="6" t="n"/>
      <c r="I236" s="5" t="n"/>
      <c r="J236" s="5" t="n"/>
      <c r="K236" s="5" t="n"/>
      <c r="L236" s="5" t="n"/>
    </row>
    <row r="237">
      <c r="A237" s="5" t="n"/>
      <c r="B237" s="6" t="n"/>
      <c r="C237" s="5" t="n"/>
      <c r="D237" s="5" t="n"/>
      <c r="E237" s="5" t="n"/>
      <c r="F237" s="5" t="n"/>
      <c r="G237" s="5" t="n"/>
      <c r="H237" s="6" t="n"/>
      <c r="I237" s="5" t="n"/>
      <c r="J237" s="5" t="n"/>
      <c r="K237" s="5" t="n"/>
      <c r="L237" s="5" t="n"/>
    </row>
    <row r="238">
      <c r="A238" s="5" t="n"/>
      <c r="B238" s="6" t="n"/>
      <c r="C238" s="5" t="n"/>
      <c r="D238" s="5" t="n"/>
      <c r="E238" s="5" t="n"/>
      <c r="F238" s="5" t="n"/>
      <c r="G238" s="5" t="n"/>
      <c r="H238" s="6" t="n"/>
      <c r="I238" s="5" t="n"/>
      <c r="J238" s="5" t="n"/>
      <c r="K238" s="5" t="n"/>
      <c r="L238" s="5" t="n"/>
    </row>
    <row r="239">
      <c r="A239" s="5" t="n"/>
      <c r="B239" s="6" t="n"/>
      <c r="C239" s="5" t="n"/>
      <c r="D239" s="5" t="n"/>
      <c r="E239" s="5" t="n"/>
      <c r="F239" s="5" t="n"/>
      <c r="G239" s="5" t="n"/>
      <c r="H239" s="6" t="n"/>
      <c r="I239" s="5" t="n"/>
      <c r="J239" s="5" t="n"/>
      <c r="K239" s="5" t="n"/>
      <c r="L239" s="5" t="n"/>
    </row>
    <row r="240">
      <c r="A240" s="5" t="n"/>
      <c r="B240" s="6" t="n"/>
      <c r="C240" s="5" t="n"/>
      <c r="D240" s="5" t="n"/>
      <c r="E240" s="5" t="n"/>
      <c r="F240" s="5" t="n"/>
      <c r="G240" s="5" t="n"/>
      <c r="H240" s="6" t="n"/>
      <c r="I240" s="5" t="n"/>
      <c r="J240" s="5" t="n"/>
      <c r="K240" s="5" t="n"/>
      <c r="L240" s="5" t="n"/>
    </row>
    <row r="241">
      <c r="A241" s="5" t="n"/>
      <c r="B241" s="6" t="n"/>
      <c r="C241" s="5" t="n"/>
      <c r="D241" s="5" t="n"/>
      <c r="E241" s="5" t="n"/>
      <c r="F241" s="5" t="n"/>
      <c r="G241" s="5" t="n"/>
      <c r="H241" s="6" t="n"/>
      <c r="I241" s="5" t="n"/>
      <c r="J241" s="5" t="n"/>
      <c r="K241" s="5" t="n"/>
      <c r="L241" s="5" t="n"/>
    </row>
    <row r="242">
      <c r="A242" s="5" t="n"/>
      <c r="B242" s="6" t="n"/>
      <c r="C242" s="5" t="n"/>
      <c r="D242" s="5" t="n"/>
      <c r="E242" s="5" t="n"/>
      <c r="F242" s="5" t="n"/>
      <c r="G242" s="5" t="n"/>
      <c r="H242" s="6" t="n"/>
      <c r="I242" s="5" t="n"/>
      <c r="J242" s="5" t="n"/>
      <c r="K242" s="5" t="n"/>
      <c r="L242" s="5" t="n"/>
    </row>
    <row r="243">
      <c r="A243" s="5" t="n"/>
      <c r="B243" s="6" t="n"/>
      <c r="C243" s="5" t="n"/>
      <c r="D243" s="5" t="n"/>
      <c r="E243" s="5" t="n"/>
      <c r="F243" s="5" t="n"/>
      <c r="G243" s="5" t="n"/>
      <c r="H243" s="6" t="n"/>
      <c r="I243" s="5" t="n"/>
      <c r="J243" s="5" t="n"/>
      <c r="K243" s="5" t="n"/>
      <c r="L243" s="5" t="n"/>
    </row>
    <row r="244">
      <c r="A244" s="5" t="n"/>
      <c r="B244" s="6" t="n"/>
      <c r="C244" s="5" t="n"/>
      <c r="D244" s="5" t="n"/>
      <c r="E244" s="5" t="n"/>
      <c r="F244" s="5" t="n"/>
      <c r="G244" s="5" t="n"/>
      <c r="H244" s="6" t="n"/>
      <c r="I244" s="5" t="n"/>
      <c r="J244" s="5" t="n"/>
      <c r="K244" s="5" t="n"/>
      <c r="L244" s="5" t="n"/>
    </row>
    <row r="245">
      <c r="A245" s="5" t="n"/>
      <c r="B245" s="6" t="n"/>
      <c r="C245" s="5" t="n"/>
      <c r="D245" s="5" t="n"/>
      <c r="E245" s="5" t="n"/>
      <c r="F245" s="5" t="n"/>
      <c r="G245" s="5" t="n"/>
      <c r="H245" s="6" t="n"/>
      <c r="I245" s="5" t="n"/>
      <c r="J245" s="5" t="n"/>
      <c r="K245" s="5" t="n"/>
      <c r="L245" s="5" t="n"/>
    </row>
    <row r="246">
      <c r="A246" s="5" t="n"/>
      <c r="B246" s="6" t="n"/>
      <c r="C246" s="5" t="n"/>
      <c r="D246" s="5" t="n"/>
      <c r="E246" s="5" t="n"/>
      <c r="F246" s="5" t="n"/>
      <c r="G246" s="5" t="n"/>
      <c r="H246" s="6" t="n"/>
      <c r="I246" s="5" t="n"/>
      <c r="J246" s="5" t="n"/>
      <c r="K246" s="5" t="n"/>
      <c r="L246" s="5" t="n"/>
    </row>
    <row r="247">
      <c r="A247" s="5" t="n"/>
      <c r="B247" s="6" t="n"/>
      <c r="C247" s="5" t="n"/>
      <c r="D247" s="5" t="n"/>
      <c r="E247" s="5" t="n"/>
      <c r="F247" s="5" t="n"/>
      <c r="G247" s="5" t="n"/>
      <c r="H247" s="6" t="n"/>
      <c r="I247" s="5" t="n"/>
      <c r="J247" s="5" t="n"/>
      <c r="K247" s="5" t="n"/>
      <c r="L247" s="5" t="n"/>
    </row>
    <row r="248">
      <c r="A248" s="5" t="n"/>
      <c r="B248" s="6" t="n"/>
      <c r="C248" s="5" t="n"/>
      <c r="D248" s="5" t="n"/>
      <c r="E248" s="5" t="n"/>
      <c r="F248" s="5" t="n"/>
      <c r="G248" s="5" t="n"/>
      <c r="H248" s="6" t="n"/>
      <c r="I248" s="5" t="n"/>
      <c r="J248" s="5" t="n"/>
      <c r="K248" s="5" t="n"/>
      <c r="L248" s="5" t="n"/>
    </row>
    <row r="249">
      <c r="A249" s="5" t="n"/>
      <c r="B249" s="6" t="n"/>
      <c r="C249" s="5" t="n"/>
      <c r="D249" s="5" t="n"/>
      <c r="E249" s="5" t="n"/>
      <c r="F249" s="5" t="n"/>
      <c r="G249" s="5" t="n"/>
      <c r="H249" s="6" t="n"/>
      <c r="I249" s="5" t="n"/>
      <c r="J249" s="5" t="n"/>
      <c r="K249" s="5" t="n"/>
      <c r="L249" s="5" t="n"/>
    </row>
    <row r="250">
      <c r="A250" s="5" t="n"/>
      <c r="B250" s="6" t="n"/>
      <c r="C250" s="5" t="n"/>
      <c r="D250" s="5" t="n"/>
      <c r="E250" s="5" t="n"/>
      <c r="F250" s="5" t="n"/>
      <c r="G250" s="5" t="n"/>
      <c r="H250" s="6" t="n"/>
      <c r="I250" s="5" t="n"/>
      <c r="J250" s="5" t="n"/>
      <c r="K250" s="5" t="n"/>
      <c r="L250" s="5" t="n"/>
    </row>
    <row r="251">
      <c r="A251" s="5" t="n"/>
      <c r="B251" s="6" t="n"/>
      <c r="C251" s="5" t="n"/>
      <c r="D251" s="5" t="n"/>
      <c r="E251" s="5" t="n"/>
      <c r="F251" s="5" t="n"/>
      <c r="G251" s="5" t="n"/>
      <c r="H251" s="6" t="n"/>
      <c r="I251" s="5" t="n"/>
      <c r="J251" s="5" t="n"/>
      <c r="K251" s="5" t="n"/>
      <c r="L251" s="5" t="n"/>
    </row>
    <row r="252">
      <c r="A252" s="5" t="n"/>
      <c r="B252" s="6" t="n"/>
      <c r="C252" s="5" t="n"/>
      <c r="D252" s="5" t="n"/>
      <c r="E252" s="5" t="n"/>
      <c r="F252" s="5" t="n"/>
      <c r="G252" s="5" t="n"/>
      <c r="H252" s="6" t="n"/>
      <c r="I252" s="5" t="n"/>
      <c r="J252" s="5" t="n"/>
      <c r="K252" s="5" t="n"/>
      <c r="L252" s="5" t="n"/>
    </row>
    <row r="253">
      <c r="A253" s="5" t="n"/>
      <c r="B253" s="6" t="n"/>
      <c r="C253" s="5" t="n"/>
      <c r="D253" s="5" t="n"/>
      <c r="E253" s="5" t="n"/>
      <c r="F253" s="5" t="n"/>
      <c r="G253" s="5" t="n"/>
      <c r="H253" s="6" t="n"/>
      <c r="I253" s="5" t="n"/>
      <c r="J253" s="5" t="n"/>
      <c r="K253" s="5" t="n"/>
      <c r="L253" s="5" t="n"/>
    </row>
    <row r="254">
      <c r="A254" s="5" t="n"/>
      <c r="B254" s="6" t="n"/>
      <c r="C254" s="5" t="n"/>
      <c r="D254" s="5" t="n"/>
      <c r="E254" s="5" t="n"/>
      <c r="F254" s="5" t="n"/>
      <c r="G254" s="5" t="n"/>
      <c r="H254" s="6" t="n"/>
      <c r="I254" s="5" t="n"/>
      <c r="J254" s="5" t="n"/>
      <c r="K254" s="5" t="n"/>
      <c r="L254" s="5" t="n"/>
    </row>
    <row r="255">
      <c r="A255" s="5" t="n"/>
      <c r="B255" s="6" t="n"/>
      <c r="C255" s="5" t="n"/>
      <c r="D255" s="5" t="n"/>
      <c r="E255" s="5" t="n"/>
      <c r="F255" s="5" t="n"/>
      <c r="G255" s="5" t="n"/>
      <c r="H255" s="6" t="n"/>
      <c r="I255" s="5" t="n"/>
      <c r="J255" s="5" t="n"/>
      <c r="K255" s="5" t="n"/>
      <c r="L255" s="5" t="n"/>
    </row>
    <row r="256">
      <c r="A256" s="5" t="n"/>
      <c r="B256" s="6" t="n"/>
      <c r="C256" s="5" t="n"/>
      <c r="D256" s="5" t="n"/>
      <c r="E256" s="5" t="n"/>
      <c r="F256" s="5" t="n"/>
      <c r="G256" s="5" t="n"/>
      <c r="H256" s="6" t="n"/>
      <c r="I256" s="5" t="n"/>
      <c r="J256" s="5" t="n"/>
      <c r="K256" s="5" t="n"/>
      <c r="L256" s="5" t="n"/>
    </row>
    <row r="257">
      <c r="A257" s="5" t="n"/>
      <c r="B257" s="6" t="n"/>
      <c r="C257" s="5" t="n"/>
      <c r="D257" s="5" t="n"/>
      <c r="E257" s="5" t="n"/>
      <c r="F257" s="5" t="n"/>
      <c r="G257" s="5" t="n"/>
      <c r="H257" s="6" t="n"/>
      <c r="I257" s="5" t="n"/>
      <c r="J257" s="5" t="n"/>
      <c r="K257" s="5" t="n"/>
      <c r="L257" s="5" t="n"/>
    </row>
    <row r="258">
      <c r="A258" s="5" t="n"/>
      <c r="B258" s="6" t="n"/>
      <c r="C258" s="5" t="n"/>
      <c r="D258" s="5" t="n"/>
      <c r="E258" s="5" t="n"/>
      <c r="F258" s="5" t="n"/>
      <c r="G258" s="5" t="n"/>
      <c r="H258" s="6" t="n"/>
      <c r="I258" s="5" t="n"/>
      <c r="J258" s="5" t="n"/>
      <c r="K258" s="5" t="n"/>
      <c r="L258" s="5" t="n"/>
    </row>
    <row r="259">
      <c r="A259" s="5" t="n"/>
      <c r="B259" s="6" t="n"/>
      <c r="C259" s="5" t="n"/>
      <c r="D259" s="5" t="n"/>
      <c r="E259" s="5" t="n"/>
      <c r="F259" s="5" t="n"/>
      <c r="G259" s="5" t="n"/>
      <c r="H259" s="6" t="n"/>
      <c r="I259" s="5" t="n"/>
      <c r="J259" s="5" t="n"/>
      <c r="K259" s="5" t="n"/>
      <c r="L259" s="5" t="n"/>
    </row>
    <row r="260">
      <c r="A260" s="5" t="n"/>
      <c r="B260" s="6" t="n"/>
      <c r="C260" s="5" t="n"/>
      <c r="D260" s="5" t="n"/>
      <c r="E260" s="5" t="n"/>
      <c r="F260" s="5" t="n"/>
      <c r="G260" s="5" t="n"/>
      <c r="H260" s="6" t="n"/>
      <c r="I260" s="5" t="n"/>
      <c r="J260" s="5" t="n"/>
      <c r="K260" s="5" t="n"/>
      <c r="L260" s="5" t="n"/>
    </row>
    <row r="261">
      <c r="A261" s="5" t="n"/>
      <c r="B261" s="6" t="n"/>
      <c r="C261" s="5" t="n"/>
      <c r="D261" s="5" t="n"/>
      <c r="E261" s="5" t="n"/>
      <c r="F261" s="5" t="n"/>
      <c r="G261" s="5" t="n"/>
      <c r="H261" s="6" t="n"/>
      <c r="I261" s="5" t="n"/>
      <c r="J261" s="5" t="n"/>
      <c r="K261" s="5" t="n"/>
      <c r="L261" s="5" t="n"/>
    </row>
    <row r="262">
      <c r="A262" s="5" t="n"/>
      <c r="B262" s="6" t="n"/>
      <c r="C262" s="5" t="n"/>
      <c r="D262" s="5" t="n"/>
      <c r="E262" s="5" t="n"/>
      <c r="F262" s="5" t="n"/>
      <c r="G262" s="5" t="n"/>
      <c r="H262" s="6" t="n"/>
      <c r="I262" s="5" t="n"/>
      <c r="J262" s="5" t="n"/>
      <c r="K262" s="5" t="n"/>
      <c r="L262" s="5" t="n"/>
    </row>
    <row r="263">
      <c r="A263" s="5" t="n"/>
      <c r="B263" s="6" t="n"/>
      <c r="C263" s="5" t="n"/>
      <c r="D263" s="5" t="n"/>
      <c r="E263" s="5" t="n"/>
      <c r="F263" s="5" t="n"/>
      <c r="G263" s="5" t="n"/>
      <c r="H263" s="6" t="n"/>
      <c r="I263" s="5" t="n"/>
      <c r="J263" s="5" t="n"/>
      <c r="K263" s="5" t="n"/>
      <c r="L263" s="5" t="n"/>
    </row>
    <row r="264">
      <c r="A264" s="5" t="n"/>
      <c r="B264" s="6" t="n"/>
      <c r="C264" s="5" t="n"/>
      <c r="D264" s="5" t="n"/>
      <c r="E264" s="5" t="n"/>
      <c r="F264" s="5" t="n"/>
      <c r="G264" s="5" t="n"/>
      <c r="H264" s="6" t="n"/>
      <c r="I264" s="5" t="n"/>
      <c r="J264" s="5" t="n"/>
      <c r="K264" s="5" t="n"/>
      <c r="L264" s="5" t="n"/>
    </row>
    <row r="265">
      <c r="A265" s="5" t="n"/>
      <c r="B265" s="6" t="n"/>
      <c r="C265" s="5" t="n"/>
      <c r="D265" s="5" t="n"/>
      <c r="E265" s="5" t="n"/>
      <c r="F265" s="5" t="n"/>
      <c r="G265" s="5" t="n"/>
      <c r="H265" s="6" t="n"/>
      <c r="I265" s="5" t="n"/>
      <c r="J265" s="5" t="n"/>
      <c r="K265" s="5" t="n"/>
      <c r="L265" s="5" t="n"/>
    </row>
    <row r="266">
      <c r="A266" s="5" t="n"/>
      <c r="B266" s="6" t="n"/>
      <c r="C266" s="5" t="n"/>
      <c r="D266" s="5" t="n"/>
      <c r="E266" s="5" t="n"/>
      <c r="F266" s="5" t="n"/>
      <c r="G266" s="5" t="n"/>
      <c r="H266" s="6" t="n"/>
      <c r="I266" s="5" t="n"/>
      <c r="J266" s="5" t="n"/>
      <c r="K266" s="5" t="n"/>
      <c r="L266" s="5" t="n"/>
    </row>
    <row r="267">
      <c r="A267" s="5" t="n"/>
      <c r="B267" s="6" t="n"/>
      <c r="C267" s="5" t="n"/>
      <c r="D267" s="5" t="n"/>
      <c r="E267" s="5" t="n"/>
      <c r="F267" s="5" t="n"/>
      <c r="G267" s="5" t="n"/>
      <c r="H267" s="6" t="n"/>
      <c r="I267" s="5" t="n"/>
      <c r="J267" s="5" t="n"/>
      <c r="K267" s="5" t="n"/>
      <c r="L267" s="5" t="n"/>
    </row>
    <row r="268">
      <c r="A268" s="5" t="n"/>
      <c r="B268" s="6" t="n"/>
      <c r="C268" s="5" t="n"/>
      <c r="D268" s="5" t="n"/>
      <c r="E268" s="5" t="n"/>
      <c r="F268" s="5" t="n"/>
      <c r="G268" s="5" t="n"/>
      <c r="H268" s="6" t="n"/>
      <c r="I268" s="5" t="n"/>
      <c r="J268" s="5" t="n"/>
      <c r="K268" s="5" t="n"/>
      <c r="L268" s="5" t="n"/>
    </row>
    <row r="269">
      <c r="A269" s="5" t="n"/>
      <c r="B269" s="6" t="n"/>
      <c r="C269" s="5" t="n"/>
      <c r="D269" s="5" t="n"/>
      <c r="E269" s="5" t="n"/>
      <c r="F269" s="5" t="n"/>
      <c r="G269" s="5" t="n"/>
      <c r="H269" s="6" t="n"/>
      <c r="I269" s="5" t="n"/>
      <c r="J269" s="5" t="n"/>
      <c r="K269" s="5" t="n"/>
      <c r="L269" s="5" t="n"/>
    </row>
    <row r="270">
      <c r="A270" s="5" t="n"/>
      <c r="B270" s="6" t="n"/>
      <c r="C270" s="5" t="n"/>
      <c r="D270" s="5" t="n"/>
      <c r="E270" s="5" t="n"/>
      <c r="F270" s="5" t="n"/>
      <c r="G270" s="5" t="n"/>
      <c r="H270" s="6" t="n"/>
      <c r="I270" s="5" t="n"/>
      <c r="J270" s="5" t="n"/>
      <c r="K270" s="5" t="n"/>
      <c r="L270" s="5" t="n"/>
    </row>
    <row r="271">
      <c r="A271" s="5" t="n"/>
      <c r="B271" s="6" t="n"/>
      <c r="C271" s="5" t="n"/>
      <c r="D271" s="5" t="n"/>
      <c r="E271" s="5" t="n"/>
      <c r="F271" s="5" t="n"/>
      <c r="G271" s="5" t="n"/>
      <c r="H271" s="6" t="n"/>
      <c r="I271" s="5" t="n"/>
      <c r="J271" s="5" t="n"/>
      <c r="K271" s="5" t="n"/>
      <c r="L271" s="5" t="n"/>
    </row>
    <row r="272">
      <c r="A272" s="5" t="n"/>
      <c r="B272" s="6" t="n"/>
      <c r="C272" s="5" t="n"/>
      <c r="D272" s="5" t="n"/>
      <c r="E272" s="5" t="n"/>
      <c r="F272" s="5" t="n"/>
      <c r="G272" s="5" t="n"/>
      <c r="H272" s="6" t="n"/>
      <c r="I272" s="5" t="n"/>
      <c r="J272" s="5" t="n"/>
      <c r="K272" s="5" t="n"/>
      <c r="L272" s="5" t="n"/>
    </row>
    <row r="273">
      <c r="A273" s="5" t="n"/>
      <c r="B273" s="6" t="n"/>
      <c r="C273" s="5" t="n"/>
      <c r="D273" s="5" t="n"/>
      <c r="E273" s="5" t="n"/>
      <c r="F273" s="5" t="n"/>
      <c r="G273" s="5" t="n"/>
      <c r="H273" s="6" t="n"/>
      <c r="I273" s="5" t="n"/>
      <c r="J273" s="5" t="n"/>
      <c r="K273" s="5" t="n"/>
      <c r="L273" s="5" t="n"/>
    </row>
    <row r="274">
      <c r="A274" s="5" t="n"/>
      <c r="B274" s="6" t="n"/>
      <c r="C274" s="5" t="n"/>
      <c r="D274" s="5" t="n"/>
      <c r="E274" s="5" t="n"/>
      <c r="F274" s="5" t="n"/>
      <c r="G274" s="5" t="n"/>
      <c r="H274" s="6" t="n"/>
      <c r="I274" s="5" t="n"/>
      <c r="J274" s="5" t="n"/>
      <c r="K274" s="5" t="n"/>
      <c r="L274" s="5" t="n"/>
    </row>
    <row r="275">
      <c r="A275" s="5" t="n"/>
      <c r="B275" s="6" t="n"/>
      <c r="C275" s="5" t="n"/>
      <c r="D275" s="5" t="n"/>
      <c r="E275" s="5" t="n"/>
      <c r="F275" s="5" t="n"/>
      <c r="G275" s="5" t="n"/>
      <c r="H275" s="6" t="n"/>
      <c r="I275" s="5" t="n"/>
      <c r="J275" s="5" t="n"/>
      <c r="K275" s="5" t="n"/>
      <c r="L275" s="5" t="n"/>
    </row>
    <row r="276">
      <c r="A276" s="5" t="n"/>
      <c r="B276" s="6" t="n"/>
      <c r="C276" s="5" t="n"/>
      <c r="D276" s="5" t="n"/>
      <c r="E276" s="5" t="n"/>
      <c r="F276" s="5" t="n"/>
      <c r="G276" s="5" t="n"/>
      <c r="H276" s="6" t="n"/>
      <c r="I276" s="5" t="n"/>
      <c r="J276" s="5" t="n"/>
      <c r="K276" s="5" t="n"/>
      <c r="L276" s="5" t="n"/>
    </row>
    <row r="277">
      <c r="A277" s="5" t="n"/>
      <c r="B277" s="6" t="n"/>
      <c r="C277" s="5" t="n"/>
      <c r="D277" s="5" t="n"/>
      <c r="E277" s="5" t="n"/>
      <c r="F277" s="5" t="n"/>
      <c r="G277" s="5" t="n"/>
      <c r="H277" s="6" t="n"/>
      <c r="I277" s="5" t="n"/>
      <c r="J277" s="5" t="n"/>
      <c r="K277" s="5" t="n"/>
      <c r="L277" s="5" t="n"/>
    </row>
    <row r="278">
      <c r="A278" s="5" t="n"/>
      <c r="B278" s="6" t="n"/>
      <c r="C278" s="5" t="n"/>
      <c r="D278" s="5" t="n"/>
      <c r="E278" s="5" t="n"/>
      <c r="F278" s="5" t="n"/>
      <c r="G278" s="5" t="n"/>
      <c r="H278" s="6" t="n"/>
      <c r="I278" s="5" t="n"/>
      <c r="J278" s="5" t="n"/>
      <c r="K278" s="5" t="n"/>
      <c r="L278" s="5" t="n"/>
    </row>
    <row r="279">
      <c r="A279" s="5" t="n"/>
      <c r="B279" s="6" t="n"/>
      <c r="C279" s="5" t="n"/>
      <c r="D279" s="5" t="n"/>
      <c r="E279" s="5" t="n"/>
      <c r="F279" s="5" t="n"/>
      <c r="G279" s="5" t="n"/>
      <c r="H279" s="6" t="n"/>
      <c r="I279" s="5" t="n"/>
      <c r="J279" s="5" t="n"/>
      <c r="K279" s="5" t="n"/>
      <c r="L279" s="5" t="n"/>
    </row>
    <row r="280">
      <c r="A280" s="5" t="n"/>
      <c r="B280" s="6" t="n"/>
      <c r="C280" s="5" t="n"/>
      <c r="D280" s="5" t="n"/>
      <c r="E280" s="5" t="n"/>
      <c r="F280" s="5" t="n"/>
      <c r="G280" s="5" t="n"/>
      <c r="H280" s="6" t="n"/>
      <c r="I280" s="5" t="n"/>
      <c r="J280" s="5" t="n"/>
      <c r="K280" s="5" t="n"/>
      <c r="L280" s="5" t="n"/>
    </row>
    <row r="281">
      <c r="A281" s="5" t="n"/>
      <c r="B281" s="6" t="n"/>
      <c r="C281" s="5" t="n"/>
      <c r="D281" s="5" t="n"/>
      <c r="E281" s="5" t="n"/>
      <c r="F281" s="5" t="n"/>
      <c r="G281" s="5" t="n"/>
      <c r="H281" s="6" t="n"/>
      <c r="I281" s="5" t="n"/>
      <c r="J281" s="5" t="n"/>
      <c r="K281" s="5" t="n"/>
      <c r="L281" s="5" t="n"/>
    </row>
    <row r="282">
      <c r="A282" s="5" t="n"/>
      <c r="B282" s="6" t="n"/>
      <c r="C282" s="5" t="n"/>
      <c r="D282" s="5" t="n"/>
      <c r="E282" s="5" t="n"/>
      <c r="F282" s="5" t="n"/>
      <c r="G282" s="5" t="n"/>
      <c r="H282" s="6" t="n"/>
      <c r="I282" s="5" t="n"/>
      <c r="J282" s="5" t="n"/>
      <c r="K282" s="5" t="n"/>
      <c r="L282" s="5" t="n"/>
    </row>
    <row r="283">
      <c r="A283" s="5" t="n"/>
      <c r="B283" s="6" t="n"/>
      <c r="C283" s="5" t="n"/>
      <c r="D283" s="5" t="n"/>
      <c r="E283" s="5" t="n"/>
      <c r="F283" s="5" t="n"/>
      <c r="G283" s="5" t="n"/>
      <c r="H283" s="6" t="n"/>
      <c r="I283" s="5" t="n"/>
      <c r="J283" s="5" t="n"/>
      <c r="K283" s="5" t="n"/>
      <c r="L283" s="5" t="n"/>
    </row>
    <row r="284">
      <c r="A284" s="5" t="n"/>
      <c r="B284" s="6" t="n"/>
      <c r="C284" s="5" t="n"/>
      <c r="D284" s="5" t="n"/>
      <c r="E284" s="5" t="n"/>
      <c r="F284" s="5" t="n"/>
      <c r="G284" s="5" t="n"/>
      <c r="H284" s="6" t="n"/>
      <c r="I284" s="5" t="n"/>
      <c r="J284" s="5" t="n"/>
      <c r="K284" s="5" t="n"/>
      <c r="L284" s="5" t="n"/>
    </row>
    <row r="285">
      <c r="A285" s="5" t="n"/>
      <c r="B285" s="6" t="n"/>
      <c r="C285" s="5" t="n"/>
      <c r="D285" s="5" t="n"/>
      <c r="E285" s="5" t="n"/>
      <c r="F285" s="5" t="n"/>
      <c r="G285" s="5" t="n"/>
      <c r="H285" s="6" t="n"/>
      <c r="I285" s="5" t="n"/>
      <c r="J285" s="5" t="n"/>
      <c r="K285" s="5" t="n"/>
      <c r="L285" s="5" t="n"/>
    </row>
    <row r="286">
      <c r="A286" s="5" t="n"/>
      <c r="B286" s="6" t="n"/>
      <c r="C286" s="5" t="n"/>
      <c r="D286" s="5" t="n"/>
      <c r="E286" s="5" t="n"/>
      <c r="F286" s="5" t="n"/>
      <c r="G286" s="5" t="n"/>
      <c r="H286" s="6" t="n"/>
      <c r="I286" s="5" t="n"/>
      <c r="J286" s="5" t="n"/>
      <c r="K286" s="5" t="n"/>
      <c r="L286" s="5" t="n"/>
    </row>
    <row r="287">
      <c r="A287" s="5" t="n"/>
      <c r="B287" s="6" t="n"/>
      <c r="C287" s="5" t="n"/>
      <c r="D287" s="5" t="n"/>
      <c r="E287" s="5" t="n"/>
      <c r="F287" s="5" t="n"/>
      <c r="G287" s="5" t="n"/>
      <c r="H287" s="6" t="n"/>
      <c r="I287" s="5" t="n"/>
      <c r="J287" s="5" t="n"/>
      <c r="K287" s="5" t="n"/>
      <c r="L287" s="5" t="n"/>
    </row>
    <row r="288">
      <c r="A288" s="5" t="n"/>
      <c r="B288" s="6" t="n"/>
      <c r="C288" s="5" t="n"/>
      <c r="D288" s="5" t="n"/>
      <c r="E288" s="5" t="n"/>
      <c r="F288" s="5" t="n"/>
      <c r="G288" s="5" t="n"/>
      <c r="H288" s="6" t="n"/>
      <c r="I288" s="5" t="n"/>
      <c r="J288" s="5" t="n"/>
      <c r="K288" s="5" t="n"/>
      <c r="L288" s="5" t="n"/>
    </row>
    <row r="289">
      <c r="A289" s="5" t="n"/>
      <c r="B289" s="6" t="n"/>
      <c r="C289" s="5" t="n"/>
      <c r="D289" s="5" t="n"/>
      <c r="E289" s="5" t="n"/>
      <c r="F289" s="5" t="n"/>
      <c r="G289" s="5" t="n"/>
      <c r="H289" s="6" t="n"/>
      <c r="I289" s="5" t="n"/>
      <c r="J289" s="5" t="n"/>
      <c r="K289" s="5" t="n"/>
      <c r="L289" s="5" t="n"/>
    </row>
    <row r="290">
      <c r="A290" s="5" t="n"/>
      <c r="B290" s="6" t="n"/>
      <c r="C290" s="5" t="n"/>
      <c r="D290" s="5" t="n"/>
      <c r="E290" s="5" t="n"/>
      <c r="F290" s="5" t="n"/>
      <c r="G290" s="5" t="n"/>
      <c r="H290" s="6" t="n"/>
      <c r="I290" s="5" t="n"/>
      <c r="J290" s="5" t="n"/>
      <c r="K290" s="5" t="n"/>
      <c r="L290" s="5" t="n"/>
    </row>
    <row r="291">
      <c r="A291" s="5" t="n"/>
      <c r="B291" s="6" t="n"/>
      <c r="C291" s="5" t="n"/>
      <c r="D291" s="5" t="n"/>
      <c r="E291" s="5" t="n"/>
      <c r="F291" s="5" t="n"/>
      <c r="G291" s="5" t="n"/>
      <c r="H291" s="6" t="n"/>
      <c r="I291" s="5" t="n"/>
      <c r="J291" s="5" t="n"/>
      <c r="K291" s="5" t="n"/>
      <c r="L291" s="5" t="n"/>
    </row>
    <row r="292">
      <c r="A292" s="5" t="n"/>
      <c r="B292" s="6" t="n"/>
      <c r="C292" s="5" t="n"/>
      <c r="D292" s="5" t="n"/>
      <c r="E292" s="5" t="n"/>
      <c r="F292" s="5" t="n"/>
      <c r="G292" s="5" t="n"/>
      <c r="H292" s="6" t="n"/>
      <c r="I292" s="5" t="n"/>
      <c r="J292" s="5" t="n"/>
      <c r="K292" s="5" t="n"/>
      <c r="L292" s="5" t="n"/>
    </row>
    <row r="293">
      <c r="A293" s="5" t="n"/>
      <c r="B293" s="6" t="n"/>
      <c r="C293" s="5" t="n"/>
      <c r="D293" s="5" t="n"/>
      <c r="E293" s="5" t="n"/>
      <c r="F293" s="5" t="n"/>
      <c r="G293" s="5" t="n"/>
      <c r="H293" s="6" t="n"/>
      <c r="I293" s="5" t="n"/>
      <c r="J293" s="5" t="n"/>
      <c r="K293" s="5" t="n"/>
      <c r="L293" s="5" t="n"/>
    </row>
    <row r="294">
      <c r="A294" s="5" t="n"/>
      <c r="B294" s="6" t="n"/>
      <c r="C294" s="5" t="n"/>
      <c r="D294" s="5" t="n"/>
      <c r="E294" s="5" t="n"/>
      <c r="F294" s="5" t="n"/>
      <c r="G294" s="5" t="n"/>
      <c r="H294" s="6" t="n"/>
      <c r="I294" s="5" t="n"/>
      <c r="J294" s="5" t="n"/>
      <c r="K294" s="5" t="n"/>
      <c r="L294" s="5" t="n"/>
    </row>
    <row r="295">
      <c r="A295" s="5" t="n"/>
      <c r="B295" s="6" t="n"/>
      <c r="C295" s="5" t="n"/>
      <c r="D295" s="5" t="n"/>
      <c r="E295" s="5" t="n"/>
      <c r="F295" s="5" t="n"/>
      <c r="G295" s="5" t="n"/>
      <c r="H295" s="6" t="n"/>
      <c r="I295" s="5" t="n"/>
      <c r="J295" s="5" t="n"/>
      <c r="K295" s="5" t="n"/>
      <c r="L295" s="5" t="n"/>
    </row>
    <row r="296">
      <c r="A296" s="5" t="n"/>
      <c r="B296" s="6" t="n"/>
      <c r="C296" s="5" t="n"/>
      <c r="D296" s="5" t="n"/>
      <c r="E296" s="5" t="n"/>
      <c r="F296" s="5" t="n"/>
      <c r="G296" s="5" t="n"/>
      <c r="H296" s="6" t="n"/>
      <c r="I296" s="5" t="n"/>
      <c r="J296" s="5" t="n"/>
      <c r="K296" s="5" t="n"/>
      <c r="L296" s="5" t="n"/>
    </row>
    <row r="297">
      <c r="A297" s="5" t="n"/>
      <c r="B297" s="6" t="n"/>
      <c r="C297" s="5" t="n"/>
      <c r="D297" s="5" t="n"/>
      <c r="E297" s="5" t="n"/>
      <c r="F297" s="5" t="n"/>
      <c r="G297" s="5" t="n"/>
      <c r="H297" s="6" t="n"/>
      <c r="I297" s="5" t="n"/>
      <c r="J297" s="5" t="n"/>
      <c r="K297" s="5" t="n"/>
      <c r="L297" s="5" t="n"/>
    </row>
    <row r="298">
      <c r="A298" s="5" t="n"/>
      <c r="B298" s="6" t="n"/>
      <c r="C298" s="5" t="n"/>
      <c r="D298" s="5" t="n"/>
      <c r="E298" s="5" t="n"/>
      <c r="F298" s="5" t="n"/>
      <c r="G298" s="5" t="n"/>
      <c r="H298" s="6" t="n"/>
      <c r="I298" s="5" t="n"/>
      <c r="J298" s="5" t="n"/>
      <c r="K298" s="5" t="n"/>
      <c r="L298" s="5" t="n"/>
    </row>
    <row r="299">
      <c r="A299" s="5" t="n"/>
      <c r="B299" s="6" t="n"/>
      <c r="C299" s="5" t="n"/>
      <c r="D299" s="5" t="n"/>
      <c r="E299" s="5" t="n"/>
      <c r="F299" s="5" t="n"/>
      <c r="G299" s="5" t="n"/>
      <c r="H299" s="6" t="n"/>
      <c r="I299" s="5" t="n"/>
      <c r="J299" s="5" t="n"/>
      <c r="K299" s="5" t="n"/>
      <c r="L299" s="5" t="n"/>
    </row>
    <row r="300">
      <c r="A300" s="5" t="n"/>
      <c r="B300" s="6" t="n"/>
      <c r="C300" s="5" t="n"/>
      <c r="D300" s="5" t="n"/>
      <c r="E300" s="5" t="n"/>
      <c r="F300" s="5" t="n"/>
      <c r="G300" s="5" t="n"/>
      <c r="H300" s="6" t="n"/>
      <c r="I300" s="5" t="n"/>
      <c r="J300" s="5" t="n"/>
      <c r="K300" s="5" t="n"/>
      <c r="L300" s="5" t="n"/>
    </row>
    <row r="301">
      <c r="A301" s="5" t="n"/>
      <c r="B301" s="6" t="n"/>
      <c r="C301" s="5" t="n"/>
      <c r="D301" s="5" t="n"/>
      <c r="E301" s="5" t="n"/>
      <c r="F301" s="5" t="n"/>
      <c r="G301" s="5" t="n"/>
      <c r="H301" s="6" t="n"/>
      <c r="I301" s="5" t="n"/>
      <c r="J301" s="5" t="n"/>
      <c r="K301" s="5" t="n"/>
      <c r="L301" s="5" t="n"/>
    </row>
  </sheetData>
  <autoFilter ref="A1:L3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T6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" customWidth="1" min="3" max="3"/>
    <col width="11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0" customWidth="1" min="11" max="11"/>
    <col width="3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3" customWidth="1" min="19" max="19"/>
    <col width="11" customWidth="1" min="20" max="20"/>
  </cols>
  <sheetData>
    <row r="1">
      <c r="B1" s="7" t="inlineStr">
        <is>
          <t>2026년도 하반기 인턴근무계획표(9~2월)</t>
        </is>
      </c>
      <c r="M1" s="8" t="inlineStr">
        <is>
          <t>↓ 자동 정규화 (수정 금지) — '병원 진료과'로 통일, 인식 불가는 ⚠ 표시</t>
        </is>
      </c>
    </row>
    <row r="2" ht="28" customHeight="1">
      <c r="B2" s="4" t="inlineStr">
        <is>
          <t xml:space="preserve">순번 </t>
        </is>
      </c>
      <c r="C2" s="4" t="inlineStr">
        <is>
          <t xml:space="preserve">이름 </t>
        </is>
      </c>
      <c r="D2" s="4" t="inlineStr">
        <is>
          <t>사번</t>
        </is>
      </c>
      <c r="E2" s="4" t="inlineStr">
        <is>
          <t>9월</t>
        </is>
      </c>
      <c r="F2" s="4" t="inlineStr">
        <is>
          <t>10월</t>
        </is>
      </c>
      <c r="G2" s="4" t="inlineStr">
        <is>
          <t>11월</t>
        </is>
      </c>
      <c r="H2" s="4" t="inlineStr">
        <is>
          <t>12월</t>
        </is>
      </c>
      <c r="I2" s="4" t="inlineStr">
        <is>
          <t>1월</t>
        </is>
      </c>
      <c r="J2" s="4" t="inlineStr">
        <is>
          <t xml:space="preserve">2월 </t>
        </is>
      </c>
      <c r="K2" s="4" t="inlineStr">
        <is>
          <t>비고</t>
        </is>
      </c>
      <c r="M2" s="9">
        <f>TRIM(E$2&amp;"")&amp;" 정규화"</f>
        <v/>
      </c>
      <c r="N2" s="9">
        <f>TRIM(F$2&amp;"")&amp;" 정규화"</f>
        <v/>
      </c>
      <c r="O2" s="9">
        <f>TRIM(G$2&amp;"")&amp;" 정규화"</f>
        <v/>
      </c>
      <c r="P2" s="9">
        <f>TRIM(H$2&amp;"")&amp;" 정규화"</f>
        <v/>
      </c>
      <c r="Q2" s="9">
        <f>TRIM(I$2&amp;"")&amp;" 정규화"</f>
        <v/>
      </c>
      <c r="R2" s="9">
        <f>TRIM(J$2&amp;"")&amp;" 정규화"</f>
        <v/>
      </c>
      <c r="S2" s="9" t="inlineStr">
        <is>
          <t>입사일(비고)</t>
        </is>
      </c>
      <c r="T2" s="9" t="inlineStr">
        <is>
          <t>입력오류(건)</t>
        </is>
      </c>
    </row>
    <row r="3">
      <c r="B3" s="5" t="n">
        <v>1</v>
      </c>
      <c r="C3" s="5" t="inlineStr">
        <is>
          <t>김ㅇㅇ</t>
        </is>
      </c>
      <c r="D3" s="5" t="n">
        <v>222222</v>
      </c>
      <c r="E3" s="5" t="inlineStr">
        <is>
          <t>구리 안과</t>
        </is>
      </c>
      <c r="F3" s="5" t="inlineStr">
        <is>
          <t>구리 내과</t>
        </is>
      </c>
      <c r="G3" s="5" t="inlineStr">
        <is>
          <t>서울 핵방</t>
        </is>
      </c>
      <c r="H3" s="5" t="inlineStr">
        <is>
          <t>서울 재활의학과</t>
        </is>
      </c>
      <c r="I3" s="5" t="inlineStr">
        <is>
          <t>제주 산부</t>
        </is>
      </c>
      <c r="J3" s="5" t="inlineStr">
        <is>
          <t>서울 소아과</t>
        </is>
      </c>
      <c r="K3" s="5" t="n">
        <v>2026.03</v>
      </c>
      <c r="M3" s="10">
        <f>IFERROR(IF(TRIM(E3&amp;"")="","",IF(AND(ISNUMBER(FIND(" ",TRIM(E3&amp;""))),ISNUMBER(MATCH(LEFT(TRIM(E3&amp;""),FIND(" ",TRIM(E3&amp;""))-1),코드표!$J$2:$J$101,0)),ISNUMBER(MATCH(TRIM(RIGHT(SUBSTITUTE(TRIM(E3&amp;"")," ",REPT(" ",60)),60)),코드표!$F$2:$F$101,0))),INDEX(코드표!$K$2:$K$101,MATCH(LEFT(TRIM(E3&amp;""),FIND(" ",TRIM(E3&amp;""))-1),코드표!$J$2:$J$101,0))&amp;" "&amp;INDEX(코드표!$G$2:$G$101,MATCH(TRIM(RIGHT(SUBSTITUTE(TRIM(E3&amp;"")," ",REPT(" ",60)),60)),코드표!$F$2:$F$101,0)),"⚠"&amp;TRIM(E3&amp;""))),"⚠"&amp;TRIM(E3&amp;""))</f>
        <v/>
      </c>
      <c r="N3" s="10">
        <f>IFERROR(IF(TRIM(F3&amp;"")="","",IF(AND(ISNUMBER(FIND(" ",TRIM(F3&amp;""))),ISNUMBER(MATCH(LEFT(TRIM(F3&amp;""),FIND(" ",TRIM(F3&amp;""))-1),코드표!$J$2:$J$101,0)),ISNUMBER(MATCH(TRIM(RIGHT(SUBSTITUTE(TRIM(F3&amp;"")," ",REPT(" ",60)),60)),코드표!$F$2:$F$101,0))),INDEX(코드표!$K$2:$K$101,MATCH(LEFT(TRIM(F3&amp;""),FIND(" ",TRIM(F3&amp;""))-1),코드표!$J$2:$J$101,0))&amp;" "&amp;INDEX(코드표!$G$2:$G$101,MATCH(TRIM(RIGHT(SUBSTITUTE(TRIM(F3&amp;"")," ",REPT(" ",60)),60)),코드표!$F$2:$F$101,0)),"⚠"&amp;TRIM(F3&amp;""))),"⚠"&amp;TRIM(F3&amp;""))</f>
        <v/>
      </c>
      <c r="O3" s="10">
        <f>IFERROR(IF(TRIM(G3&amp;"")="","",IF(AND(ISNUMBER(FIND(" ",TRIM(G3&amp;""))),ISNUMBER(MATCH(LEFT(TRIM(G3&amp;""),FIND(" ",TRIM(G3&amp;""))-1),코드표!$J$2:$J$101,0)),ISNUMBER(MATCH(TRIM(RIGHT(SUBSTITUTE(TRIM(G3&amp;"")," ",REPT(" ",60)),60)),코드표!$F$2:$F$101,0))),INDEX(코드표!$K$2:$K$101,MATCH(LEFT(TRIM(G3&amp;""),FIND(" ",TRIM(G3&amp;""))-1),코드표!$J$2:$J$101,0))&amp;" "&amp;INDEX(코드표!$G$2:$G$101,MATCH(TRIM(RIGHT(SUBSTITUTE(TRIM(G3&amp;"")," ",REPT(" ",60)),60)),코드표!$F$2:$F$101,0)),"⚠"&amp;TRIM(G3&amp;""))),"⚠"&amp;TRIM(G3&amp;""))</f>
        <v/>
      </c>
      <c r="P3" s="10">
        <f>IFERROR(IF(TRIM(H3&amp;"")="","",IF(AND(ISNUMBER(FIND(" ",TRIM(H3&amp;""))),ISNUMBER(MATCH(LEFT(TRIM(H3&amp;""),FIND(" ",TRIM(H3&amp;""))-1),코드표!$J$2:$J$101,0)),ISNUMBER(MATCH(TRIM(RIGHT(SUBSTITUTE(TRIM(H3&amp;"")," ",REPT(" ",60)),60)),코드표!$F$2:$F$101,0))),INDEX(코드표!$K$2:$K$101,MATCH(LEFT(TRIM(H3&amp;""),FIND(" ",TRIM(H3&amp;""))-1),코드표!$J$2:$J$101,0))&amp;" "&amp;INDEX(코드표!$G$2:$G$101,MATCH(TRIM(RIGHT(SUBSTITUTE(TRIM(H3&amp;"")," ",REPT(" ",60)),60)),코드표!$F$2:$F$101,0)),"⚠"&amp;TRIM(H3&amp;""))),"⚠"&amp;TRIM(H3&amp;""))</f>
        <v/>
      </c>
      <c r="Q3" s="10">
        <f>IFERROR(IF(TRIM(I3&amp;"")="","",IF(AND(ISNUMBER(FIND(" ",TRIM(I3&amp;""))),ISNUMBER(MATCH(LEFT(TRIM(I3&amp;""),FIND(" ",TRIM(I3&amp;""))-1),코드표!$J$2:$J$101,0)),ISNUMBER(MATCH(TRIM(RIGHT(SUBSTITUTE(TRIM(I3&amp;"")," ",REPT(" ",60)),60)),코드표!$F$2:$F$101,0))),INDEX(코드표!$K$2:$K$101,MATCH(LEFT(TRIM(I3&amp;""),FIND(" ",TRIM(I3&amp;""))-1),코드표!$J$2:$J$101,0))&amp;" "&amp;INDEX(코드표!$G$2:$G$101,MATCH(TRIM(RIGHT(SUBSTITUTE(TRIM(I3&amp;"")," ",REPT(" ",60)),60)),코드표!$F$2:$F$101,0)),"⚠"&amp;TRIM(I3&amp;""))),"⚠"&amp;TRIM(I3&amp;""))</f>
        <v/>
      </c>
      <c r="R3" s="10">
        <f>IFERROR(IF(TRIM(J3&amp;"")="","",IF(AND(ISNUMBER(FIND(" ",TRIM(J3&amp;""))),ISNUMBER(MATCH(LEFT(TRIM(J3&amp;""),FIND(" ",TRIM(J3&amp;""))-1),코드표!$J$2:$J$101,0)),ISNUMBER(MATCH(TRIM(RIGHT(SUBSTITUTE(TRIM(J3&amp;"")," ",REPT(" ",60)),60)),코드표!$F$2:$F$101,0))),INDEX(코드표!$K$2:$K$101,MATCH(LEFT(TRIM(J3&amp;""),FIND(" ",TRIM(J3&amp;""))-1),코드표!$J$2:$J$101,0))&amp;" "&amp;INDEX(코드표!$G$2:$G$101,MATCH(TRIM(RIGHT(SUBSTITUTE(TRIM(J3&amp;"")," ",REPT(" ",60)),60)),코드표!$F$2:$F$101,0)),"⚠"&amp;TRIM(J3&amp;""))),"⚠"&amp;TRIM(J3&amp;""))</f>
        <v/>
      </c>
      <c r="S3" s="11">
        <f>IF(K3="","",IFERROR(IF(AND(ROUND((VALUE(K3&amp;"")-INT(VALUE(K3&amp;"")))*100,0)&gt;=1,ROUND((VALUE(K3&amp;"")-INT(VALUE(K3&amp;"")))*100,0)&lt;=12,INT(VALUE(K3&amp;""))&gt;=1900),DATE(INT(VALUE(K3&amp;"")),ROUND((VALUE(K3&amp;"")-INT(VALUE(K3&amp;"")))*100,0),1),K3&amp;""),K3&amp;""))</f>
        <v/>
      </c>
      <c r="T3" s="10">
        <f>COUNTIF(M3:R3,"⚠*")</f>
        <v/>
      </c>
    </row>
    <row r="4">
      <c r="B4" s="5" t="n">
        <v>2</v>
      </c>
      <c r="C4" s="5" t="inlineStr">
        <is>
          <t>이ㅇㅇ</t>
        </is>
      </c>
      <c r="D4" s="5" t="n">
        <v>222223</v>
      </c>
      <c r="E4" s="5" t="inlineStr">
        <is>
          <t>서울 내과</t>
        </is>
      </c>
      <c r="F4" s="5" t="inlineStr">
        <is>
          <t>서울 외과</t>
        </is>
      </c>
      <c r="G4" s="5" t="inlineStr">
        <is>
          <t>구리 통합</t>
        </is>
      </c>
      <c r="H4" s="5" t="inlineStr">
        <is>
          <t>인천 산부인과</t>
        </is>
      </c>
      <c r="I4" s="5" t="inlineStr">
        <is>
          <t>제주 에스중앙 내과</t>
        </is>
      </c>
      <c r="J4" s="5" t="inlineStr">
        <is>
          <t>서울 가정의학과</t>
        </is>
      </c>
      <c r="K4" s="5" t="n">
        <v>2026.03</v>
      </c>
      <c r="M4" s="10">
        <f>IFERROR(IF(TRIM(E4&amp;"")="","",IF(AND(ISNUMBER(FIND(" ",TRIM(E4&amp;""))),ISNUMBER(MATCH(LEFT(TRIM(E4&amp;""),FIND(" ",TRIM(E4&amp;""))-1),코드표!$J$2:$J$101,0)),ISNUMBER(MATCH(TRIM(RIGHT(SUBSTITUTE(TRIM(E4&amp;"")," ",REPT(" ",60)),60)),코드표!$F$2:$F$101,0))),INDEX(코드표!$K$2:$K$101,MATCH(LEFT(TRIM(E4&amp;""),FIND(" ",TRIM(E4&amp;""))-1),코드표!$J$2:$J$101,0))&amp;" "&amp;INDEX(코드표!$G$2:$G$101,MATCH(TRIM(RIGHT(SUBSTITUTE(TRIM(E4&amp;"")," ",REPT(" ",60)),60)),코드표!$F$2:$F$101,0)),"⚠"&amp;TRIM(E4&amp;""))),"⚠"&amp;TRIM(E4&amp;""))</f>
        <v/>
      </c>
      <c r="N4" s="10">
        <f>IFERROR(IF(TRIM(F4&amp;"")="","",IF(AND(ISNUMBER(FIND(" ",TRIM(F4&amp;""))),ISNUMBER(MATCH(LEFT(TRIM(F4&amp;""),FIND(" ",TRIM(F4&amp;""))-1),코드표!$J$2:$J$101,0)),ISNUMBER(MATCH(TRIM(RIGHT(SUBSTITUTE(TRIM(F4&amp;"")," ",REPT(" ",60)),60)),코드표!$F$2:$F$101,0))),INDEX(코드표!$K$2:$K$101,MATCH(LEFT(TRIM(F4&amp;""),FIND(" ",TRIM(F4&amp;""))-1),코드표!$J$2:$J$101,0))&amp;" "&amp;INDEX(코드표!$G$2:$G$101,MATCH(TRIM(RIGHT(SUBSTITUTE(TRIM(F4&amp;"")," ",REPT(" ",60)),60)),코드표!$F$2:$F$101,0)),"⚠"&amp;TRIM(F4&amp;""))),"⚠"&amp;TRIM(F4&amp;""))</f>
        <v/>
      </c>
      <c r="O4" s="10">
        <f>IFERROR(IF(TRIM(G4&amp;"")="","",IF(AND(ISNUMBER(FIND(" ",TRIM(G4&amp;""))),ISNUMBER(MATCH(LEFT(TRIM(G4&amp;""),FIND(" ",TRIM(G4&amp;""))-1),코드표!$J$2:$J$101,0)),ISNUMBER(MATCH(TRIM(RIGHT(SUBSTITUTE(TRIM(G4&amp;"")," ",REPT(" ",60)),60)),코드표!$F$2:$F$101,0))),INDEX(코드표!$K$2:$K$101,MATCH(LEFT(TRIM(G4&amp;""),FIND(" ",TRIM(G4&amp;""))-1),코드표!$J$2:$J$101,0))&amp;" "&amp;INDEX(코드표!$G$2:$G$101,MATCH(TRIM(RIGHT(SUBSTITUTE(TRIM(G4&amp;"")," ",REPT(" ",60)),60)),코드표!$F$2:$F$101,0)),"⚠"&amp;TRIM(G4&amp;""))),"⚠"&amp;TRIM(G4&amp;""))</f>
        <v/>
      </c>
      <c r="P4" s="10">
        <f>IFERROR(IF(TRIM(H4&amp;"")="","",IF(AND(ISNUMBER(FIND(" ",TRIM(H4&amp;""))),ISNUMBER(MATCH(LEFT(TRIM(H4&amp;""),FIND(" ",TRIM(H4&amp;""))-1),코드표!$J$2:$J$101,0)),ISNUMBER(MATCH(TRIM(RIGHT(SUBSTITUTE(TRIM(H4&amp;"")," ",REPT(" ",60)),60)),코드표!$F$2:$F$101,0))),INDEX(코드표!$K$2:$K$101,MATCH(LEFT(TRIM(H4&amp;""),FIND(" ",TRIM(H4&amp;""))-1),코드표!$J$2:$J$101,0))&amp;" "&amp;INDEX(코드표!$G$2:$G$101,MATCH(TRIM(RIGHT(SUBSTITUTE(TRIM(H4&amp;"")," ",REPT(" ",60)),60)),코드표!$F$2:$F$101,0)),"⚠"&amp;TRIM(H4&amp;""))),"⚠"&amp;TRIM(H4&amp;""))</f>
        <v/>
      </c>
      <c r="Q4" s="10">
        <f>IFERROR(IF(TRIM(I4&amp;"")="","",IF(AND(ISNUMBER(FIND(" ",TRIM(I4&amp;""))),ISNUMBER(MATCH(LEFT(TRIM(I4&amp;""),FIND(" ",TRIM(I4&amp;""))-1),코드표!$J$2:$J$101,0)),ISNUMBER(MATCH(TRIM(RIGHT(SUBSTITUTE(TRIM(I4&amp;"")," ",REPT(" ",60)),60)),코드표!$F$2:$F$101,0))),INDEX(코드표!$K$2:$K$101,MATCH(LEFT(TRIM(I4&amp;""),FIND(" ",TRIM(I4&amp;""))-1),코드표!$J$2:$J$101,0))&amp;" "&amp;INDEX(코드표!$G$2:$G$101,MATCH(TRIM(RIGHT(SUBSTITUTE(TRIM(I4&amp;"")," ",REPT(" ",60)),60)),코드표!$F$2:$F$101,0)),"⚠"&amp;TRIM(I4&amp;""))),"⚠"&amp;TRIM(I4&amp;""))</f>
        <v/>
      </c>
      <c r="R4" s="10">
        <f>IFERROR(IF(TRIM(J4&amp;"")="","",IF(AND(ISNUMBER(FIND(" ",TRIM(J4&amp;""))),ISNUMBER(MATCH(LEFT(TRIM(J4&amp;""),FIND(" ",TRIM(J4&amp;""))-1),코드표!$J$2:$J$101,0)),ISNUMBER(MATCH(TRIM(RIGHT(SUBSTITUTE(TRIM(J4&amp;"")," ",REPT(" ",60)),60)),코드표!$F$2:$F$101,0))),INDEX(코드표!$K$2:$K$101,MATCH(LEFT(TRIM(J4&amp;""),FIND(" ",TRIM(J4&amp;""))-1),코드표!$J$2:$J$101,0))&amp;" "&amp;INDEX(코드표!$G$2:$G$101,MATCH(TRIM(RIGHT(SUBSTITUTE(TRIM(J4&amp;"")," ",REPT(" ",60)),60)),코드표!$F$2:$F$101,0)),"⚠"&amp;TRIM(J4&amp;""))),"⚠"&amp;TRIM(J4&amp;""))</f>
        <v/>
      </c>
      <c r="S4" s="11">
        <f>IF(K4="","",IFERROR(IF(AND(ROUND((VALUE(K4&amp;"")-INT(VALUE(K4&amp;"")))*100,0)&gt;=1,ROUND((VALUE(K4&amp;"")-INT(VALUE(K4&amp;"")))*100,0)&lt;=12,INT(VALUE(K4&amp;""))&gt;=1900),DATE(INT(VALUE(K4&amp;"")),ROUND((VALUE(K4&amp;"")-INT(VALUE(K4&amp;"")))*100,0),1),K4&amp;""),K4&amp;""))</f>
        <v/>
      </c>
      <c r="T4" s="10">
        <f>COUNTIF(M4:R4,"⚠*")</f>
        <v/>
      </c>
    </row>
    <row r="5">
      <c r="B5" s="5" t="n">
        <v>3</v>
      </c>
      <c r="C5" s="5" t="inlineStr">
        <is>
          <t>박ㅇㅇ</t>
        </is>
      </c>
      <c r="D5" s="5" t="n">
        <v>222224</v>
      </c>
      <c r="E5" s="5" t="inlineStr">
        <is>
          <t>제주 외과</t>
        </is>
      </c>
      <c r="F5" s="5" t="inlineStr">
        <is>
          <t>서울 내과</t>
        </is>
      </c>
      <c r="G5" s="5" t="inlineStr">
        <is>
          <t>서울 응급</t>
        </is>
      </c>
      <c r="H5" s="5" t="inlineStr">
        <is>
          <t>구리 내과</t>
        </is>
      </c>
      <c r="I5" s="5" t="inlineStr">
        <is>
          <t>서울 소아과</t>
        </is>
      </c>
      <c r="J5" s="5" t="inlineStr">
        <is>
          <t>제주 산부</t>
        </is>
      </c>
      <c r="K5" s="5" t="n">
        <v>2026.03</v>
      </c>
      <c r="M5" s="10">
        <f>IFERROR(IF(TRIM(E5&amp;"")="","",IF(AND(ISNUMBER(FIND(" ",TRIM(E5&amp;""))),ISNUMBER(MATCH(LEFT(TRIM(E5&amp;""),FIND(" ",TRIM(E5&amp;""))-1),코드표!$J$2:$J$101,0)),ISNUMBER(MATCH(TRIM(RIGHT(SUBSTITUTE(TRIM(E5&amp;"")," ",REPT(" ",60)),60)),코드표!$F$2:$F$101,0))),INDEX(코드표!$K$2:$K$101,MATCH(LEFT(TRIM(E5&amp;""),FIND(" ",TRIM(E5&amp;""))-1),코드표!$J$2:$J$101,0))&amp;" "&amp;INDEX(코드표!$G$2:$G$101,MATCH(TRIM(RIGHT(SUBSTITUTE(TRIM(E5&amp;"")," ",REPT(" ",60)),60)),코드표!$F$2:$F$101,0)),"⚠"&amp;TRIM(E5&amp;""))),"⚠"&amp;TRIM(E5&amp;""))</f>
        <v/>
      </c>
      <c r="N5" s="10">
        <f>IFERROR(IF(TRIM(F5&amp;"")="","",IF(AND(ISNUMBER(FIND(" ",TRIM(F5&amp;""))),ISNUMBER(MATCH(LEFT(TRIM(F5&amp;""),FIND(" ",TRIM(F5&amp;""))-1),코드표!$J$2:$J$101,0)),ISNUMBER(MATCH(TRIM(RIGHT(SUBSTITUTE(TRIM(F5&amp;"")," ",REPT(" ",60)),60)),코드표!$F$2:$F$101,0))),INDEX(코드표!$K$2:$K$101,MATCH(LEFT(TRIM(F5&amp;""),FIND(" ",TRIM(F5&amp;""))-1),코드표!$J$2:$J$101,0))&amp;" "&amp;INDEX(코드표!$G$2:$G$101,MATCH(TRIM(RIGHT(SUBSTITUTE(TRIM(F5&amp;"")," ",REPT(" ",60)),60)),코드표!$F$2:$F$101,0)),"⚠"&amp;TRIM(F5&amp;""))),"⚠"&amp;TRIM(F5&amp;""))</f>
        <v/>
      </c>
      <c r="O5" s="10">
        <f>IFERROR(IF(TRIM(G5&amp;"")="","",IF(AND(ISNUMBER(FIND(" ",TRIM(G5&amp;""))),ISNUMBER(MATCH(LEFT(TRIM(G5&amp;""),FIND(" ",TRIM(G5&amp;""))-1),코드표!$J$2:$J$101,0)),ISNUMBER(MATCH(TRIM(RIGHT(SUBSTITUTE(TRIM(G5&amp;"")," ",REPT(" ",60)),60)),코드표!$F$2:$F$101,0))),INDEX(코드표!$K$2:$K$101,MATCH(LEFT(TRIM(G5&amp;""),FIND(" ",TRIM(G5&amp;""))-1),코드표!$J$2:$J$101,0))&amp;" "&amp;INDEX(코드표!$G$2:$G$101,MATCH(TRIM(RIGHT(SUBSTITUTE(TRIM(G5&amp;"")," ",REPT(" ",60)),60)),코드표!$F$2:$F$101,0)),"⚠"&amp;TRIM(G5&amp;""))),"⚠"&amp;TRIM(G5&amp;""))</f>
        <v/>
      </c>
      <c r="P5" s="10">
        <f>IFERROR(IF(TRIM(H5&amp;"")="","",IF(AND(ISNUMBER(FIND(" ",TRIM(H5&amp;""))),ISNUMBER(MATCH(LEFT(TRIM(H5&amp;""),FIND(" ",TRIM(H5&amp;""))-1),코드표!$J$2:$J$101,0)),ISNUMBER(MATCH(TRIM(RIGHT(SUBSTITUTE(TRIM(H5&amp;"")," ",REPT(" ",60)),60)),코드표!$F$2:$F$101,0))),INDEX(코드표!$K$2:$K$101,MATCH(LEFT(TRIM(H5&amp;""),FIND(" ",TRIM(H5&amp;""))-1),코드표!$J$2:$J$101,0))&amp;" "&amp;INDEX(코드표!$G$2:$G$101,MATCH(TRIM(RIGHT(SUBSTITUTE(TRIM(H5&amp;"")," ",REPT(" ",60)),60)),코드표!$F$2:$F$101,0)),"⚠"&amp;TRIM(H5&amp;""))),"⚠"&amp;TRIM(H5&amp;""))</f>
        <v/>
      </c>
      <c r="Q5" s="10">
        <f>IFERROR(IF(TRIM(I5&amp;"")="","",IF(AND(ISNUMBER(FIND(" ",TRIM(I5&amp;""))),ISNUMBER(MATCH(LEFT(TRIM(I5&amp;""),FIND(" ",TRIM(I5&amp;""))-1),코드표!$J$2:$J$101,0)),ISNUMBER(MATCH(TRIM(RIGHT(SUBSTITUTE(TRIM(I5&amp;"")," ",REPT(" ",60)),60)),코드표!$F$2:$F$101,0))),INDEX(코드표!$K$2:$K$101,MATCH(LEFT(TRIM(I5&amp;""),FIND(" ",TRIM(I5&amp;""))-1),코드표!$J$2:$J$101,0))&amp;" "&amp;INDEX(코드표!$G$2:$G$101,MATCH(TRIM(RIGHT(SUBSTITUTE(TRIM(I5&amp;"")," ",REPT(" ",60)),60)),코드표!$F$2:$F$101,0)),"⚠"&amp;TRIM(I5&amp;""))),"⚠"&amp;TRIM(I5&amp;""))</f>
        <v/>
      </c>
      <c r="R5" s="10">
        <f>IFERROR(IF(TRIM(J5&amp;"")="","",IF(AND(ISNUMBER(FIND(" ",TRIM(J5&amp;""))),ISNUMBER(MATCH(LEFT(TRIM(J5&amp;""),FIND(" ",TRIM(J5&amp;""))-1),코드표!$J$2:$J$101,0)),ISNUMBER(MATCH(TRIM(RIGHT(SUBSTITUTE(TRIM(J5&amp;"")," ",REPT(" ",60)),60)),코드표!$F$2:$F$101,0))),INDEX(코드표!$K$2:$K$101,MATCH(LEFT(TRIM(J5&amp;""),FIND(" ",TRIM(J5&amp;""))-1),코드표!$J$2:$J$101,0))&amp;" "&amp;INDEX(코드표!$G$2:$G$101,MATCH(TRIM(RIGHT(SUBSTITUTE(TRIM(J5&amp;"")," ",REPT(" ",60)),60)),코드표!$F$2:$F$101,0)),"⚠"&amp;TRIM(J5&amp;""))),"⚠"&amp;TRIM(J5&amp;""))</f>
        <v/>
      </c>
      <c r="S5" s="11">
        <f>IF(K5="","",IFERROR(IF(AND(ROUND((VALUE(K5&amp;"")-INT(VALUE(K5&amp;"")))*100,0)&gt;=1,ROUND((VALUE(K5&amp;"")-INT(VALUE(K5&amp;"")))*100,0)&lt;=12,INT(VALUE(K5&amp;""))&gt;=1900),DATE(INT(VALUE(K5&amp;"")),ROUND((VALUE(K5&amp;"")-INT(VALUE(K5&amp;"")))*100,0),1),K5&amp;""),K5&amp;""))</f>
        <v/>
      </c>
      <c r="T5" s="10">
        <f>COUNTIF(M5:R5,"⚠*")</f>
        <v/>
      </c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M6" s="10">
        <f>IFERROR(IF(TRIM(E6&amp;"")="","",IF(AND(ISNUMBER(FIND(" ",TRIM(E6&amp;""))),ISNUMBER(MATCH(LEFT(TRIM(E6&amp;""),FIND(" ",TRIM(E6&amp;""))-1),코드표!$J$2:$J$101,0)),ISNUMBER(MATCH(TRIM(RIGHT(SUBSTITUTE(TRIM(E6&amp;"")," ",REPT(" ",60)),60)),코드표!$F$2:$F$101,0))),INDEX(코드표!$K$2:$K$101,MATCH(LEFT(TRIM(E6&amp;""),FIND(" ",TRIM(E6&amp;""))-1),코드표!$J$2:$J$101,0))&amp;" "&amp;INDEX(코드표!$G$2:$G$101,MATCH(TRIM(RIGHT(SUBSTITUTE(TRIM(E6&amp;"")," ",REPT(" ",60)),60)),코드표!$F$2:$F$101,0)),"⚠"&amp;TRIM(E6&amp;""))),"⚠"&amp;TRIM(E6&amp;""))</f>
        <v/>
      </c>
      <c r="N6" s="10">
        <f>IFERROR(IF(TRIM(F6&amp;"")="","",IF(AND(ISNUMBER(FIND(" ",TRIM(F6&amp;""))),ISNUMBER(MATCH(LEFT(TRIM(F6&amp;""),FIND(" ",TRIM(F6&amp;""))-1),코드표!$J$2:$J$101,0)),ISNUMBER(MATCH(TRIM(RIGHT(SUBSTITUTE(TRIM(F6&amp;"")," ",REPT(" ",60)),60)),코드표!$F$2:$F$101,0))),INDEX(코드표!$K$2:$K$101,MATCH(LEFT(TRIM(F6&amp;""),FIND(" ",TRIM(F6&amp;""))-1),코드표!$J$2:$J$101,0))&amp;" "&amp;INDEX(코드표!$G$2:$G$101,MATCH(TRIM(RIGHT(SUBSTITUTE(TRIM(F6&amp;"")," ",REPT(" ",60)),60)),코드표!$F$2:$F$101,0)),"⚠"&amp;TRIM(F6&amp;""))),"⚠"&amp;TRIM(F6&amp;""))</f>
        <v/>
      </c>
      <c r="O6" s="10">
        <f>IFERROR(IF(TRIM(G6&amp;"")="","",IF(AND(ISNUMBER(FIND(" ",TRIM(G6&amp;""))),ISNUMBER(MATCH(LEFT(TRIM(G6&amp;""),FIND(" ",TRIM(G6&amp;""))-1),코드표!$J$2:$J$101,0)),ISNUMBER(MATCH(TRIM(RIGHT(SUBSTITUTE(TRIM(G6&amp;"")," ",REPT(" ",60)),60)),코드표!$F$2:$F$101,0))),INDEX(코드표!$K$2:$K$101,MATCH(LEFT(TRIM(G6&amp;""),FIND(" ",TRIM(G6&amp;""))-1),코드표!$J$2:$J$101,0))&amp;" "&amp;INDEX(코드표!$G$2:$G$101,MATCH(TRIM(RIGHT(SUBSTITUTE(TRIM(G6&amp;"")," ",REPT(" ",60)),60)),코드표!$F$2:$F$101,0)),"⚠"&amp;TRIM(G6&amp;""))),"⚠"&amp;TRIM(G6&amp;""))</f>
        <v/>
      </c>
      <c r="P6" s="10">
        <f>IFERROR(IF(TRIM(H6&amp;"")="","",IF(AND(ISNUMBER(FIND(" ",TRIM(H6&amp;""))),ISNUMBER(MATCH(LEFT(TRIM(H6&amp;""),FIND(" ",TRIM(H6&amp;""))-1),코드표!$J$2:$J$101,0)),ISNUMBER(MATCH(TRIM(RIGHT(SUBSTITUTE(TRIM(H6&amp;"")," ",REPT(" ",60)),60)),코드표!$F$2:$F$101,0))),INDEX(코드표!$K$2:$K$101,MATCH(LEFT(TRIM(H6&amp;""),FIND(" ",TRIM(H6&amp;""))-1),코드표!$J$2:$J$101,0))&amp;" "&amp;INDEX(코드표!$G$2:$G$101,MATCH(TRIM(RIGHT(SUBSTITUTE(TRIM(H6&amp;"")," ",REPT(" ",60)),60)),코드표!$F$2:$F$101,0)),"⚠"&amp;TRIM(H6&amp;""))),"⚠"&amp;TRIM(H6&amp;""))</f>
        <v/>
      </c>
      <c r="Q6" s="10">
        <f>IFERROR(IF(TRIM(I6&amp;"")="","",IF(AND(ISNUMBER(FIND(" ",TRIM(I6&amp;""))),ISNUMBER(MATCH(LEFT(TRIM(I6&amp;""),FIND(" ",TRIM(I6&amp;""))-1),코드표!$J$2:$J$101,0)),ISNUMBER(MATCH(TRIM(RIGHT(SUBSTITUTE(TRIM(I6&amp;"")," ",REPT(" ",60)),60)),코드표!$F$2:$F$101,0))),INDEX(코드표!$K$2:$K$101,MATCH(LEFT(TRIM(I6&amp;""),FIND(" ",TRIM(I6&amp;""))-1),코드표!$J$2:$J$101,0))&amp;" "&amp;INDEX(코드표!$G$2:$G$101,MATCH(TRIM(RIGHT(SUBSTITUTE(TRIM(I6&amp;"")," ",REPT(" ",60)),60)),코드표!$F$2:$F$101,0)),"⚠"&amp;TRIM(I6&amp;""))),"⚠"&amp;TRIM(I6&amp;""))</f>
        <v/>
      </c>
      <c r="R6" s="10">
        <f>IFERROR(IF(TRIM(J6&amp;"")="","",IF(AND(ISNUMBER(FIND(" ",TRIM(J6&amp;""))),ISNUMBER(MATCH(LEFT(TRIM(J6&amp;""),FIND(" ",TRIM(J6&amp;""))-1),코드표!$J$2:$J$101,0)),ISNUMBER(MATCH(TRIM(RIGHT(SUBSTITUTE(TRIM(J6&amp;"")," ",REPT(" ",60)),60)),코드표!$F$2:$F$101,0))),INDEX(코드표!$K$2:$K$101,MATCH(LEFT(TRIM(J6&amp;""),FIND(" ",TRIM(J6&amp;""))-1),코드표!$J$2:$J$101,0))&amp;" "&amp;INDEX(코드표!$G$2:$G$101,MATCH(TRIM(RIGHT(SUBSTITUTE(TRIM(J6&amp;"")," ",REPT(" ",60)),60)),코드표!$F$2:$F$101,0)),"⚠"&amp;TRIM(J6&amp;""))),"⚠"&amp;TRIM(J6&amp;""))</f>
        <v/>
      </c>
      <c r="S6" s="11">
        <f>IF(K6="","",IFERROR(IF(AND(ROUND((VALUE(K6&amp;"")-INT(VALUE(K6&amp;"")))*100,0)&gt;=1,ROUND((VALUE(K6&amp;"")-INT(VALUE(K6&amp;"")))*100,0)&lt;=12,INT(VALUE(K6&amp;""))&gt;=1900),DATE(INT(VALUE(K6&amp;"")),ROUND((VALUE(K6&amp;"")-INT(VALUE(K6&amp;"")))*100,0),1),K6&amp;""),K6&amp;""))</f>
        <v/>
      </c>
      <c r="T6" s="10">
        <f>COUNTIF(M6:R6,"⚠*")</f>
        <v/>
      </c>
    </row>
    <row r="7"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M7" s="10">
        <f>IFERROR(IF(TRIM(E7&amp;"")="","",IF(AND(ISNUMBER(FIND(" ",TRIM(E7&amp;""))),ISNUMBER(MATCH(LEFT(TRIM(E7&amp;""),FIND(" ",TRIM(E7&amp;""))-1),코드표!$J$2:$J$101,0)),ISNUMBER(MATCH(TRIM(RIGHT(SUBSTITUTE(TRIM(E7&amp;"")," ",REPT(" ",60)),60)),코드표!$F$2:$F$101,0))),INDEX(코드표!$K$2:$K$101,MATCH(LEFT(TRIM(E7&amp;""),FIND(" ",TRIM(E7&amp;""))-1),코드표!$J$2:$J$101,0))&amp;" "&amp;INDEX(코드표!$G$2:$G$101,MATCH(TRIM(RIGHT(SUBSTITUTE(TRIM(E7&amp;"")," ",REPT(" ",60)),60)),코드표!$F$2:$F$101,0)),"⚠"&amp;TRIM(E7&amp;""))),"⚠"&amp;TRIM(E7&amp;""))</f>
        <v/>
      </c>
      <c r="N7" s="10">
        <f>IFERROR(IF(TRIM(F7&amp;"")="","",IF(AND(ISNUMBER(FIND(" ",TRIM(F7&amp;""))),ISNUMBER(MATCH(LEFT(TRIM(F7&amp;""),FIND(" ",TRIM(F7&amp;""))-1),코드표!$J$2:$J$101,0)),ISNUMBER(MATCH(TRIM(RIGHT(SUBSTITUTE(TRIM(F7&amp;"")," ",REPT(" ",60)),60)),코드표!$F$2:$F$101,0))),INDEX(코드표!$K$2:$K$101,MATCH(LEFT(TRIM(F7&amp;""),FIND(" ",TRIM(F7&amp;""))-1),코드표!$J$2:$J$101,0))&amp;" "&amp;INDEX(코드표!$G$2:$G$101,MATCH(TRIM(RIGHT(SUBSTITUTE(TRIM(F7&amp;"")," ",REPT(" ",60)),60)),코드표!$F$2:$F$101,0)),"⚠"&amp;TRIM(F7&amp;""))),"⚠"&amp;TRIM(F7&amp;""))</f>
        <v/>
      </c>
      <c r="O7" s="10">
        <f>IFERROR(IF(TRIM(G7&amp;"")="","",IF(AND(ISNUMBER(FIND(" ",TRIM(G7&amp;""))),ISNUMBER(MATCH(LEFT(TRIM(G7&amp;""),FIND(" ",TRIM(G7&amp;""))-1),코드표!$J$2:$J$101,0)),ISNUMBER(MATCH(TRIM(RIGHT(SUBSTITUTE(TRIM(G7&amp;"")," ",REPT(" ",60)),60)),코드표!$F$2:$F$101,0))),INDEX(코드표!$K$2:$K$101,MATCH(LEFT(TRIM(G7&amp;""),FIND(" ",TRIM(G7&amp;""))-1),코드표!$J$2:$J$101,0))&amp;" "&amp;INDEX(코드표!$G$2:$G$101,MATCH(TRIM(RIGHT(SUBSTITUTE(TRIM(G7&amp;"")," ",REPT(" ",60)),60)),코드표!$F$2:$F$101,0)),"⚠"&amp;TRIM(G7&amp;""))),"⚠"&amp;TRIM(G7&amp;""))</f>
        <v/>
      </c>
      <c r="P7" s="10">
        <f>IFERROR(IF(TRIM(H7&amp;"")="","",IF(AND(ISNUMBER(FIND(" ",TRIM(H7&amp;""))),ISNUMBER(MATCH(LEFT(TRIM(H7&amp;""),FIND(" ",TRIM(H7&amp;""))-1),코드표!$J$2:$J$101,0)),ISNUMBER(MATCH(TRIM(RIGHT(SUBSTITUTE(TRIM(H7&amp;"")," ",REPT(" ",60)),60)),코드표!$F$2:$F$101,0))),INDEX(코드표!$K$2:$K$101,MATCH(LEFT(TRIM(H7&amp;""),FIND(" ",TRIM(H7&amp;""))-1),코드표!$J$2:$J$101,0))&amp;" "&amp;INDEX(코드표!$G$2:$G$101,MATCH(TRIM(RIGHT(SUBSTITUTE(TRIM(H7&amp;"")," ",REPT(" ",60)),60)),코드표!$F$2:$F$101,0)),"⚠"&amp;TRIM(H7&amp;""))),"⚠"&amp;TRIM(H7&amp;""))</f>
        <v/>
      </c>
      <c r="Q7" s="10">
        <f>IFERROR(IF(TRIM(I7&amp;"")="","",IF(AND(ISNUMBER(FIND(" ",TRIM(I7&amp;""))),ISNUMBER(MATCH(LEFT(TRIM(I7&amp;""),FIND(" ",TRIM(I7&amp;""))-1),코드표!$J$2:$J$101,0)),ISNUMBER(MATCH(TRIM(RIGHT(SUBSTITUTE(TRIM(I7&amp;"")," ",REPT(" ",60)),60)),코드표!$F$2:$F$101,0))),INDEX(코드표!$K$2:$K$101,MATCH(LEFT(TRIM(I7&amp;""),FIND(" ",TRIM(I7&amp;""))-1),코드표!$J$2:$J$101,0))&amp;" "&amp;INDEX(코드표!$G$2:$G$101,MATCH(TRIM(RIGHT(SUBSTITUTE(TRIM(I7&amp;"")," ",REPT(" ",60)),60)),코드표!$F$2:$F$101,0)),"⚠"&amp;TRIM(I7&amp;""))),"⚠"&amp;TRIM(I7&amp;""))</f>
        <v/>
      </c>
      <c r="R7" s="10">
        <f>IFERROR(IF(TRIM(J7&amp;"")="","",IF(AND(ISNUMBER(FIND(" ",TRIM(J7&amp;""))),ISNUMBER(MATCH(LEFT(TRIM(J7&amp;""),FIND(" ",TRIM(J7&amp;""))-1),코드표!$J$2:$J$101,0)),ISNUMBER(MATCH(TRIM(RIGHT(SUBSTITUTE(TRIM(J7&amp;"")," ",REPT(" ",60)),60)),코드표!$F$2:$F$101,0))),INDEX(코드표!$K$2:$K$101,MATCH(LEFT(TRIM(J7&amp;""),FIND(" ",TRIM(J7&amp;""))-1),코드표!$J$2:$J$101,0))&amp;" "&amp;INDEX(코드표!$G$2:$G$101,MATCH(TRIM(RIGHT(SUBSTITUTE(TRIM(J7&amp;"")," ",REPT(" ",60)),60)),코드표!$F$2:$F$101,0)),"⚠"&amp;TRIM(J7&amp;""))),"⚠"&amp;TRIM(J7&amp;""))</f>
        <v/>
      </c>
      <c r="S7" s="11">
        <f>IF(K7="","",IFERROR(IF(AND(ROUND((VALUE(K7&amp;"")-INT(VALUE(K7&amp;"")))*100,0)&gt;=1,ROUND((VALUE(K7&amp;"")-INT(VALUE(K7&amp;"")))*100,0)&lt;=12,INT(VALUE(K7&amp;""))&gt;=1900),DATE(INT(VALUE(K7&amp;"")),ROUND((VALUE(K7&amp;"")-INT(VALUE(K7&amp;"")))*100,0),1),K7&amp;""),K7&amp;""))</f>
        <v/>
      </c>
      <c r="T7" s="10">
        <f>COUNTIF(M7:R7,"⚠*")</f>
        <v/>
      </c>
    </row>
    <row r="8"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M8" s="10">
        <f>IFERROR(IF(TRIM(E8&amp;"")="","",IF(AND(ISNUMBER(FIND(" ",TRIM(E8&amp;""))),ISNUMBER(MATCH(LEFT(TRIM(E8&amp;""),FIND(" ",TRIM(E8&amp;""))-1),코드표!$J$2:$J$101,0)),ISNUMBER(MATCH(TRIM(RIGHT(SUBSTITUTE(TRIM(E8&amp;"")," ",REPT(" ",60)),60)),코드표!$F$2:$F$101,0))),INDEX(코드표!$K$2:$K$101,MATCH(LEFT(TRIM(E8&amp;""),FIND(" ",TRIM(E8&amp;""))-1),코드표!$J$2:$J$101,0))&amp;" "&amp;INDEX(코드표!$G$2:$G$101,MATCH(TRIM(RIGHT(SUBSTITUTE(TRIM(E8&amp;"")," ",REPT(" ",60)),60)),코드표!$F$2:$F$101,0)),"⚠"&amp;TRIM(E8&amp;""))),"⚠"&amp;TRIM(E8&amp;""))</f>
        <v/>
      </c>
      <c r="N8" s="10">
        <f>IFERROR(IF(TRIM(F8&amp;"")="","",IF(AND(ISNUMBER(FIND(" ",TRIM(F8&amp;""))),ISNUMBER(MATCH(LEFT(TRIM(F8&amp;""),FIND(" ",TRIM(F8&amp;""))-1),코드표!$J$2:$J$101,0)),ISNUMBER(MATCH(TRIM(RIGHT(SUBSTITUTE(TRIM(F8&amp;"")," ",REPT(" ",60)),60)),코드표!$F$2:$F$101,0))),INDEX(코드표!$K$2:$K$101,MATCH(LEFT(TRIM(F8&amp;""),FIND(" ",TRIM(F8&amp;""))-1),코드표!$J$2:$J$101,0))&amp;" "&amp;INDEX(코드표!$G$2:$G$101,MATCH(TRIM(RIGHT(SUBSTITUTE(TRIM(F8&amp;"")," ",REPT(" ",60)),60)),코드표!$F$2:$F$101,0)),"⚠"&amp;TRIM(F8&amp;""))),"⚠"&amp;TRIM(F8&amp;""))</f>
        <v/>
      </c>
      <c r="O8" s="10">
        <f>IFERROR(IF(TRIM(G8&amp;"")="","",IF(AND(ISNUMBER(FIND(" ",TRIM(G8&amp;""))),ISNUMBER(MATCH(LEFT(TRIM(G8&amp;""),FIND(" ",TRIM(G8&amp;""))-1),코드표!$J$2:$J$101,0)),ISNUMBER(MATCH(TRIM(RIGHT(SUBSTITUTE(TRIM(G8&amp;"")," ",REPT(" ",60)),60)),코드표!$F$2:$F$101,0))),INDEX(코드표!$K$2:$K$101,MATCH(LEFT(TRIM(G8&amp;""),FIND(" ",TRIM(G8&amp;""))-1),코드표!$J$2:$J$101,0))&amp;" "&amp;INDEX(코드표!$G$2:$G$101,MATCH(TRIM(RIGHT(SUBSTITUTE(TRIM(G8&amp;"")," ",REPT(" ",60)),60)),코드표!$F$2:$F$101,0)),"⚠"&amp;TRIM(G8&amp;""))),"⚠"&amp;TRIM(G8&amp;""))</f>
        <v/>
      </c>
      <c r="P8" s="10">
        <f>IFERROR(IF(TRIM(H8&amp;"")="","",IF(AND(ISNUMBER(FIND(" ",TRIM(H8&amp;""))),ISNUMBER(MATCH(LEFT(TRIM(H8&amp;""),FIND(" ",TRIM(H8&amp;""))-1),코드표!$J$2:$J$101,0)),ISNUMBER(MATCH(TRIM(RIGHT(SUBSTITUTE(TRIM(H8&amp;"")," ",REPT(" ",60)),60)),코드표!$F$2:$F$101,0))),INDEX(코드표!$K$2:$K$101,MATCH(LEFT(TRIM(H8&amp;""),FIND(" ",TRIM(H8&amp;""))-1),코드표!$J$2:$J$101,0))&amp;" "&amp;INDEX(코드표!$G$2:$G$101,MATCH(TRIM(RIGHT(SUBSTITUTE(TRIM(H8&amp;"")," ",REPT(" ",60)),60)),코드표!$F$2:$F$101,0)),"⚠"&amp;TRIM(H8&amp;""))),"⚠"&amp;TRIM(H8&amp;""))</f>
        <v/>
      </c>
      <c r="Q8" s="10">
        <f>IFERROR(IF(TRIM(I8&amp;"")="","",IF(AND(ISNUMBER(FIND(" ",TRIM(I8&amp;""))),ISNUMBER(MATCH(LEFT(TRIM(I8&amp;""),FIND(" ",TRIM(I8&amp;""))-1),코드표!$J$2:$J$101,0)),ISNUMBER(MATCH(TRIM(RIGHT(SUBSTITUTE(TRIM(I8&amp;"")," ",REPT(" ",60)),60)),코드표!$F$2:$F$101,0))),INDEX(코드표!$K$2:$K$101,MATCH(LEFT(TRIM(I8&amp;""),FIND(" ",TRIM(I8&amp;""))-1),코드표!$J$2:$J$101,0))&amp;" "&amp;INDEX(코드표!$G$2:$G$101,MATCH(TRIM(RIGHT(SUBSTITUTE(TRIM(I8&amp;"")," ",REPT(" ",60)),60)),코드표!$F$2:$F$101,0)),"⚠"&amp;TRIM(I8&amp;""))),"⚠"&amp;TRIM(I8&amp;""))</f>
        <v/>
      </c>
      <c r="R8" s="10">
        <f>IFERROR(IF(TRIM(J8&amp;"")="","",IF(AND(ISNUMBER(FIND(" ",TRIM(J8&amp;""))),ISNUMBER(MATCH(LEFT(TRIM(J8&amp;""),FIND(" ",TRIM(J8&amp;""))-1),코드표!$J$2:$J$101,0)),ISNUMBER(MATCH(TRIM(RIGHT(SUBSTITUTE(TRIM(J8&amp;"")," ",REPT(" ",60)),60)),코드표!$F$2:$F$101,0))),INDEX(코드표!$K$2:$K$101,MATCH(LEFT(TRIM(J8&amp;""),FIND(" ",TRIM(J8&amp;""))-1),코드표!$J$2:$J$101,0))&amp;" "&amp;INDEX(코드표!$G$2:$G$101,MATCH(TRIM(RIGHT(SUBSTITUTE(TRIM(J8&amp;"")," ",REPT(" ",60)),60)),코드표!$F$2:$F$101,0)),"⚠"&amp;TRIM(J8&amp;""))),"⚠"&amp;TRIM(J8&amp;""))</f>
        <v/>
      </c>
      <c r="S8" s="11">
        <f>IF(K8="","",IFERROR(IF(AND(ROUND((VALUE(K8&amp;"")-INT(VALUE(K8&amp;"")))*100,0)&gt;=1,ROUND((VALUE(K8&amp;"")-INT(VALUE(K8&amp;"")))*100,0)&lt;=12,INT(VALUE(K8&amp;""))&gt;=1900),DATE(INT(VALUE(K8&amp;"")),ROUND((VALUE(K8&amp;"")-INT(VALUE(K8&amp;"")))*100,0),1),K8&amp;""),K8&amp;""))</f>
        <v/>
      </c>
      <c r="T8" s="10">
        <f>COUNTIF(M8:R8,"⚠*")</f>
        <v/>
      </c>
    </row>
    <row r="9"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M9" s="10">
        <f>IFERROR(IF(TRIM(E9&amp;"")="","",IF(AND(ISNUMBER(FIND(" ",TRIM(E9&amp;""))),ISNUMBER(MATCH(LEFT(TRIM(E9&amp;""),FIND(" ",TRIM(E9&amp;""))-1),코드표!$J$2:$J$101,0)),ISNUMBER(MATCH(TRIM(RIGHT(SUBSTITUTE(TRIM(E9&amp;"")," ",REPT(" ",60)),60)),코드표!$F$2:$F$101,0))),INDEX(코드표!$K$2:$K$101,MATCH(LEFT(TRIM(E9&amp;""),FIND(" ",TRIM(E9&amp;""))-1),코드표!$J$2:$J$101,0))&amp;" "&amp;INDEX(코드표!$G$2:$G$101,MATCH(TRIM(RIGHT(SUBSTITUTE(TRIM(E9&amp;"")," ",REPT(" ",60)),60)),코드표!$F$2:$F$101,0)),"⚠"&amp;TRIM(E9&amp;""))),"⚠"&amp;TRIM(E9&amp;""))</f>
        <v/>
      </c>
      <c r="N9" s="10">
        <f>IFERROR(IF(TRIM(F9&amp;"")="","",IF(AND(ISNUMBER(FIND(" ",TRIM(F9&amp;""))),ISNUMBER(MATCH(LEFT(TRIM(F9&amp;""),FIND(" ",TRIM(F9&amp;""))-1),코드표!$J$2:$J$101,0)),ISNUMBER(MATCH(TRIM(RIGHT(SUBSTITUTE(TRIM(F9&amp;"")," ",REPT(" ",60)),60)),코드표!$F$2:$F$101,0))),INDEX(코드표!$K$2:$K$101,MATCH(LEFT(TRIM(F9&amp;""),FIND(" ",TRIM(F9&amp;""))-1),코드표!$J$2:$J$101,0))&amp;" "&amp;INDEX(코드표!$G$2:$G$101,MATCH(TRIM(RIGHT(SUBSTITUTE(TRIM(F9&amp;"")," ",REPT(" ",60)),60)),코드표!$F$2:$F$101,0)),"⚠"&amp;TRIM(F9&amp;""))),"⚠"&amp;TRIM(F9&amp;""))</f>
        <v/>
      </c>
      <c r="O9" s="10">
        <f>IFERROR(IF(TRIM(G9&amp;"")="","",IF(AND(ISNUMBER(FIND(" ",TRIM(G9&amp;""))),ISNUMBER(MATCH(LEFT(TRIM(G9&amp;""),FIND(" ",TRIM(G9&amp;""))-1),코드표!$J$2:$J$101,0)),ISNUMBER(MATCH(TRIM(RIGHT(SUBSTITUTE(TRIM(G9&amp;"")," ",REPT(" ",60)),60)),코드표!$F$2:$F$101,0))),INDEX(코드표!$K$2:$K$101,MATCH(LEFT(TRIM(G9&amp;""),FIND(" ",TRIM(G9&amp;""))-1),코드표!$J$2:$J$101,0))&amp;" "&amp;INDEX(코드표!$G$2:$G$101,MATCH(TRIM(RIGHT(SUBSTITUTE(TRIM(G9&amp;"")," ",REPT(" ",60)),60)),코드표!$F$2:$F$101,0)),"⚠"&amp;TRIM(G9&amp;""))),"⚠"&amp;TRIM(G9&amp;""))</f>
        <v/>
      </c>
      <c r="P9" s="10">
        <f>IFERROR(IF(TRIM(H9&amp;"")="","",IF(AND(ISNUMBER(FIND(" ",TRIM(H9&amp;""))),ISNUMBER(MATCH(LEFT(TRIM(H9&amp;""),FIND(" ",TRIM(H9&amp;""))-1),코드표!$J$2:$J$101,0)),ISNUMBER(MATCH(TRIM(RIGHT(SUBSTITUTE(TRIM(H9&amp;"")," ",REPT(" ",60)),60)),코드표!$F$2:$F$101,0))),INDEX(코드표!$K$2:$K$101,MATCH(LEFT(TRIM(H9&amp;""),FIND(" ",TRIM(H9&amp;""))-1),코드표!$J$2:$J$101,0))&amp;" "&amp;INDEX(코드표!$G$2:$G$101,MATCH(TRIM(RIGHT(SUBSTITUTE(TRIM(H9&amp;"")," ",REPT(" ",60)),60)),코드표!$F$2:$F$101,0)),"⚠"&amp;TRIM(H9&amp;""))),"⚠"&amp;TRIM(H9&amp;""))</f>
        <v/>
      </c>
      <c r="Q9" s="10">
        <f>IFERROR(IF(TRIM(I9&amp;"")="","",IF(AND(ISNUMBER(FIND(" ",TRIM(I9&amp;""))),ISNUMBER(MATCH(LEFT(TRIM(I9&amp;""),FIND(" ",TRIM(I9&amp;""))-1),코드표!$J$2:$J$101,0)),ISNUMBER(MATCH(TRIM(RIGHT(SUBSTITUTE(TRIM(I9&amp;"")," ",REPT(" ",60)),60)),코드표!$F$2:$F$101,0))),INDEX(코드표!$K$2:$K$101,MATCH(LEFT(TRIM(I9&amp;""),FIND(" ",TRIM(I9&amp;""))-1),코드표!$J$2:$J$101,0))&amp;" "&amp;INDEX(코드표!$G$2:$G$101,MATCH(TRIM(RIGHT(SUBSTITUTE(TRIM(I9&amp;"")," ",REPT(" ",60)),60)),코드표!$F$2:$F$101,0)),"⚠"&amp;TRIM(I9&amp;""))),"⚠"&amp;TRIM(I9&amp;""))</f>
        <v/>
      </c>
      <c r="R9" s="10">
        <f>IFERROR(IF(TRIM(J9&amp;"")="","",IF(AND(ISNUMBER(FIND(" ",TRIM(J9&amp;""))),ISNUMBER(MATCH(LEFT(TRIM(J9&amp;""),FIND(" ",TRIM(J9&amp;""))-1),코드표!$J$2:$J$101,0)),ISNUMBER(MATCH(TRIM(RIGHT(SUBSTITUTE(TRIM(J9&amp;"")," ",REPT(" ",60)),60)),코드표!$F$2:$F$101,0))),INDEX(코드표!$K$2:$K$101,MATCH(LEFT(TRIM(J9&amp;""),FIND(" ",TRIM(J9&amp;""))-1),코드표!$J$2:$J$101,0))&amp;" "&amp;INDEX(코드표!$G$2:$G$101,MATCH(TRIM(RIGHT(SUBSTITUTE(TRIM(J9&amp;"")," ",REPT(" ",60)),60)),코드표!$F$2:$F$101,0)),"⚠"&amp;TRIM(J9&amp;""))),"⚠"&amp;TRIM(J9&amp;""))</f>
        <v/>
      </c>
      <c r="S9" s="11">
        <f>IF(K9="","",IFERROR(IF(AND(ROUND((VALUE(K9&amp;"")-INT(VALUE(K9&amp;"")))*100,0)&gt;=1,ROUND((VALUE(K9&amp;"")-INT(VALUE(K9&amp;"")))*100,0)&lt;=12,INT(VALUE(K9&amp;""))&gt;=1900),DATE(INT(VALUE(K9&amp;"")),ROUND((VALUE(K9&amp;"")-INT(VALUE(K9&amp;"")))*100,0),1),K9&amp;""),K9&amp;""))</f>
        <v/>
      </c>
      <c r="T9" s="10">
        <f>COUNTIF(M9:R9,"⚠*")</f>
        <v/>
      </c>
    </row>
    <row r="10"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M10" s="10">
        <f>IFERROR(IF(TRIM(E10&amp;"")="","",IF(AND(ISNUMBER(FIND(" ",TRIM(E10&amp;""))),ISNUMBER(MATCH(LEFT(TRIM(E10&amp;""),FIND(" ",TRIM(E10&amp;""))-1),코드표!$J$2:$J$101,0)),ISNUMBER(MATCH(TRIM(RIGHT(SUBSTITUTE(TRIM(E10&amp;"")," ",REPT(" ",60)),60)),코드표!$F$2:$F$101,0))),INDEX(코드표!$K$2:$K$101,MATCH(LEFT(TRIM(E10&amp;""),FIND(" ",TRIM(E10&amp;""))-1),코드표!$J$2:$J$101,0))&amp;" "&amp;INDEX(코드표!$G$2:$G$101,MATCH(TRIM(RIGHT(SUBSTITUTE(TRIM(E10&amp;"")," ",REPT(" ",60)),60)),코드표!$F$2:$F$101,0)),"⚠"&amp;TRIM(E10&amp;""))),"⚠"&amp;TRIM(E10&amp;""))</f>
        <v/>
      </c>
      <c r="N10" s="10">
        <f>IFERROR(IF(TRIM(F10&amp;"")="","",IF(AND(ISNUMBER(FIND(" ",TRIM(F10&amp;""))),ISNUMBER(MATCH(LEFT(TRIM(F10&amp;""),FIND(" ",TRIM(F10&amp;""))-1),코드표!$J$2:$J$101,0)),ISNUMBER(MATCH(TRIM(RIGHT(SUBSTITUTE(TRIM(F10&amp;"")," ",REPT(" ",60)),60)),코드표!$F$2:$F$101,0))),INDEX(코드표!$K$2:$K$101,MATCH(LEFT(TRIM(F10&amp;""),FIND(" ",TRIM(F10&amp;""))-1),코드표!$J$2:$J$101,0))&amp;" "&amp;INDEX(코드표!$G$2:$G$101,MATCH(TRIM(RIGHT(SUBSTITUTE(TRIM(F10&amp;"")," ",REPT(" ",60)),60)),코드표!$F$2:$F$101,0)),"⚠"&amp;TRIM(F10&amp;""))),"⚠"&amp;TRIM(F10&amp;""))</f>
        <v/>
      </c>
      <c r="O10" s="10">
        <f>IFERROR(IF(TRIM(G10&amp;"")="","",IF(AND(ISNUMBER(FIND(" ",TRIM(G10&amp;""))),ISNUMBER(MATCH(LEFT(TRIM(G10&amp;""),FIND(" ",TRIM(G10&amp;""))-1),코드표!$J$2:$J$101,0)),ISNUMBER(MATCH(TRIM(RIGHT(SUBSTITUTE(TRIM(G10&amp;"")," ",REPT(" ",60)),60)),코드표!$F$2:$F$101,0))),INDEX(코드표!$K$2:$K$101,MATCH(LEFT(TRIM(G10&amp;""),FIND(" ",TRIM(G10&amp;""))-1),코드표!$J$2:$J$101,0))&amp;" "&amp;INDEX(코드표!$G$2:$G$101,MATCH(TRIM(RIGHT(SUBSTITUTE(TRIM(G10&amp;"")," ",REPT(" ",60)),60)),코드표!$F$2:$F$101,0)),"⚠"&amp;TRIM(G10&amp;""))),"⚠"&amp;TRIM(G10&amp;""))</f>
        <v/>
      </c>
      <c r="P10" s="10">
        <f>IFERROR(IF(TRIM(H10&amp;"")="","",IF(AND(ISNUMBER(FIND(" ",TRIM(H10&amp;""))),ISNUMBER(MATCH(LEFT(TRIM(H10&amp;""),FIND(" ",TRIM(H10&amp;""))-1),코드표!$J$2:$J$101,0)),ISNUMBER(MATCH(TRIM(RIGHT(SUBSTITUTE(TRIM(H10&amp;"")," ",REPT(" ",60)),60)),코드표!$F$2:$F$101,0))),INDEX(코드표!$K$2:$K$101,MATCH(LEFT(TRIM(H10&amp;""),FIND(" ",TRIM(H10&amp;""))-1),코드표!$J$2:$J$101,0))&amp;" "&amp;INDEX(코드표!$G$2:$G$101,MATCH(TRIM(RIGHT(SUBSTITUTE(TRIM(H10&amp;"")," ",REPT(" ",60)),60)),코드표!$F$2:$F$101,0)),"⚠"&amp;TRIM(H10&amp;""))),"⚠"&amp;TRIM(H10&amp;""))</f>
        <v/>
      </c>
      <c r="Q10" s="10">
        <f>IFERROR(IF(TRIM(I10&amp;"")="","",IF(AND(ISNUMBER(FIND(" ",TRIM(I10&amp;""))),ISNUMBER(MATCH(LEFT(TRIM(I10&amp;""),FIND(" ",TRIM(I10&amp;""))-1),코드표!$J$2:$J$101,0)),ISNUMBER(MATCH(TRIM(RIGHT(SUBSTITUTE(TRIM(I10&amp;"")," ",REPT(" ",60)),60)),코드표!$F$2:$F$101,0))),INDEX(코드표!$K$2:$K$101,MATCH(LEFT(TRIM(I10&amp;""),FIND(" ",TRIM(I10&amp;""))-1),코드표!$J$2:$J$101,0))&amp;" "&amp;INDEX(코드표!$G$2:$G$101,MATCH(TRIM(RIGHT(SUBSTITUTE(TRIM(I10&amp;"")," ",REPT(" ",60)),60)),코드표!$F$2:$F$101,0)),"⚠"&amp;TRIM(I10&amp;""))),"⚠"&amp;TRIM(I10&amp;""))</f>
        <v/>
      </c>
      <c r="R10" s="10">
        <f>IFERROR(IF(TRIM(J10&amp;"")="","",IF(AND(ISNUMBER(FIND(" ",TRIM(J10&amp;""))),ISNUMBER(MATCH(LEFT(TRIM(J10&amp;""),FIND(" ",TRIM(J10&amp;""))-1),코드표!$J$2:$J$101,0)),ISNUMBER(MATCH(TRIM(RIGHT(SUBSTITUTE(TRIM(J10&amp;"")," ",REPT(" ",60)),60)),코드표!$F$2:$F$101,0))),INDEX(코드표!$K$2:$K$101,MATCH(LEFT(TRIM(J10&amp;""),FIND(" ",TRIM(J10&amp;""))-1),코드표!$J$2:$J$101,0))&amp;" "&amp;INDEX(코드표!$G$2:$G$101,MATCH(TRIM(RIGHT(SUBSTITUTE(TRIM(J10&amp;"")," ",REPT(" ",60)),60)),코드표!$F$2:$F$101,0)),"⚠"&amp;TRIM(J10&amp;""))),"⚠"&amp;TRIM(J10&amp;""))</f>
        <v/>
      </c>
      <c r="S10" s="11">
        <f>IF(K10="","",IFERROR(IF(AND(ROUND((VALUE(K10&amp;"")-INT(VALUE(K10&amp;"")))*100,0)&gt;=1,ROUND((VALUE(K10&amp;"")-INT(VALUE(K10&amp;"")))*100,0)&lt;=12,INT(VALUE(K10&amp;""))&gt;=1900),DATE(INT(VALUE(K10&amp;"")),ROUND((VALUE(K10&amp;"")-INT(VALUE(K10&amp;"")))*100,0),1),K10&amp;""),K10&amp;""))</f>
        <v/>
      </c>
      <c r="T10" s="10">
        <f>COUNTIF(M10:R10,"⚠*")</f>
        <v/>
      </c>
    </row>
    <row r="11"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M11" s="10">
        <f>IFERROR(IF(TRIM(E11&amp;"")="","",IF(AND(ISNUMBER(FIND(" ",TRIM(E11&amp;""))),ISNUMBER(MATCH(LEFT(TRIM(E11&amp;""),FIND(" ",TRIM(E11&amp;""))-1),코드표!$J$2:$J$101,0)),ISNUMBER(MATCH(TRIM(RIGHT(SUBSTITUTE(TRIM(E11&amp;"")," ",REPT(" ",60)),60)),코드표!$F$2:$F$101,0))),INDEX(코드표!$K$2:$K$101,MATCH(LEFT(TRIM(E11&amp;""),FIND(" ",TRIM(E11&amp;""))-1),코드표!$J$2:$J$101,0))&amp;" "&amp;INDEX(코드표!$G$2:$G$101,MATCH(TRIM(RIGHT(SUBSTITUTE(TRIM(E11&amp;"")," ",REPT(" ",60)),60)),코드표!$F$2:$F$101,0)),"⚠"&amp;TRIM(E11&amp;""))),"⚠"&amp;TRIM(E11&amp;""))</f>
        <v/>
      </c>
      <c r="N11" s="10">
        <f>IFERROR(IF(TRIM(F11&amp;"")="","",IF(AND(ISNUMBER(FIND(" ",TRIM(F11&amp;""))),ISNUMBER(MATCH(LEFT(TRIM(F11&amp;""),FIND(" ",TRIM(F11&amp;""))-1),코드표!$J$2:$J$101,0)),ISNUMBER(MATCH(TRIM(RIGHT(SUBSTITUTE(TRIM(F11&amp;"")," ",REPT(" ",60)),60)),코드표!$F$2:$F$101,0))),INDEX(코드표!$K$2:$K$101,MATCH(LEFT(TRIM(F11&amp;""),FIND(" ",TRIM(F11&amp;""))-1),코드표!$J$2:$J$101,0))&amp;" "&amp;INDEX(코드표!$G$2:$G$101,MATCH(TRIM(RIGHT(SUBSTITUTE(TRIM(F11&amp;"")," ",REPT(" ",60)),60)),코드표!$F$2:$F$101,0)),"⚠"&amp;TRIM(F11&amp;""))),"⚠"&amp;TRIM(F11&amp;""))</f>
        <v/>
      </c>
      <c r="O11" s="10">
        <f>IFERROR(IF(TRIM(G11&amp;"")="","",IF(AND(ISNUMBER(FIND(" ",TRIM(G11&amp;""))),ISNUMBER(MATCH(LEFT(TRIM(G11&amp;""),FIND(" ",TRIM(G11&amp;""))-1),코드표!$J$2:$J$101,0)),ISNUMBER(MATCH(TRIM(RIGHT(SUBSTITUTE(TRIM(G11&amp;"")," ",REPT(" ",60)),60)),코드표!$F$2:$F$101,0))),INDEX(코드표!$K$2:$K$101,MATCH(LEFT(TRIM(G11&amp;""),FIND(" ",TRIM(G11&amp;""))-1),코드표!$J$2:$J$101,0))&amp;" "&amp;INDEX(코드표!$G$2:$G$101,MATCH(TRIM(RIGHT(SUBSTITUTE(TRIM(G11&amp;"")," ",REPT(" ",60)),60)),코드표!$F$2:$F$101,0)),"⚠"&amp;TRIM(G11&amp;""))),"⚠"&amp;TRIM(G11&amp;""))</f>
        <v/>
      </c>
      <c r="P11" s="10">
        <f>IFERROR(IF(TRIM(H11&amp;"")="","",IF(AND(ISNUMBER(FIND(" ",TRIM(H11&amp;""))),ISNUMBER(MATCH(LEFT(TRIM(H11&amp;""),FIND(" ",TRIM(H11&amp;""))-1),코드표!$J$2:$J$101,0)),ISNUMBER(MATCH(TRIM(RIGHT(SUBSTITUTE(TRIM(H11&amp;"")," ",REPT(" ",60)),60)),코드표!$F$2:$F$101,0))),INDEX(코드표!$K$2:$K$101,MATCH(LEFT(TRIM(H11&amp;""),FIND(" ",TRIM(H11&amp;""))-1),코드표!$J$2:$J$101,0))&amp;" "&amp;INDEX(코드표!$G$2:$G$101,MATCH(TRIM(RIGHT(SUBSTITUTE(TRIM(H11&amp;"")," ",REPT(" ",60)),60)),코드표!$F$2:$F$101,0)),"⚠"&amp;TRIM(H11&amp;""))),"⚠"&amp;TRIM(H11&amp;""))</f>
        <v/>
      </c>
      <c r="Q11" s="10">
        <f>IFERROR(IF(TRIM(I11&amp;"")="","",IF(AND(ISNUMBER(FIND(" ",TRIM(I11&amp;""))),ISNUMBER(MATCH(LEFT(TRIM(I11&amp;""),FIND(" ",TRIM(I11&amp;""))-1),코드표!$J$2:$J$101,0)),ISNUMBER(MATCH(TRIM(RIGHT(SUBSTITUTE(TRIM(I11&amp;"")," ",REPT(" ",60)),60)),코드표!$F$2:$F$101,0))),INDEX(코드표!$K$2:$K$101,MATCH(LEFT(TRIM(I11&amp;""),FIND(" ",TRIM(I11&amp;""))-1),코드표!$J$2:$J$101,0))&amp;" "&amp;INDEX(코드표!$G$2:$G$101,MATCH(TRIM(RIGHT(SUBSTITUTE(TRIM(I11&amp;"")," ",REPT(" ",60)),60)),코드표!$F$2:$F$101,0)),"⚠"&amp;TRIM(I11&amp;""))),"⚠"&amp;TRIM(I11&amp;""))</f>
        <v/>
      </c>
      <c r="R11" s="10">
        <f>IFERROR(IF(TRIM(J11&amp;"")="","",IF(AND(ISNUMBER(FIND(" ",TRIM(J11&amp;""))),ISNUMBER(MATCH(LEFT(TRIM(J11&amp;""),FIND(" ",TRIM(J11&amp;""))-1),코드표!$J$2:$J$101,0)),ISNUMBER(MATCH(TRIM(RIGHT(SUBSTITUTE(TRIM(J11&amp;"")," ",REPT(" ",60)),60)),코드표!$F$2:$F$101,0))),INDEX(코드표!$K$2:$K$101,MATCH(LEFT(TRIM(J11&amp;""),FIND(" ",TRIM(J11&amp;""))-1),코드표!$J$2:$J$101,0))&amp;" "&amp;INDEX(코드표!$G$2:$G$101,MATCH(TRIM(RIGHT(SUBSTITUTE(TRIM(J11&amp;"")," ",REPT(" ",60)),60)),코드표!$F$2:$F$101,0)),"⚠"&amp;TRIM(J11&amp;""))),"⚠"&amp;TRIM(J11&amp;""))</f>
        <v/>
      </c>
      <c r="S11" s="11">
        <f>IF(K11="","",IFERROR(IF(AND(ROUND((VALUE(K11&amp;"")-INT(VALUE(K11&amp;"")))*100,0)&gt;=1,ROUND((VALUE(K11&amp;"")-INT(VALUE(K11&amp;"")))*100,0)&lt;=12,INT(VALUE(K11&amp;""))&gt;=1900),DATE(INT(VALUE(K11&amp;"")),ROUND((VALUE(K11&amp;"")-INT(VALUE(K11&amp;"")))*100,0),1),K11&amp;""),K11&amp;""))</f>
        <v/>
      </c>
      <c r="T11" s="10">
        <f>COUNTIF(M11:R11,"⚠*")</f>
        <v/>
      </c>
    </row>
    <row r="12"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M12" s="10">
        <f>IFERROR(IF(TRIM(E12&amp;"")="","",IF(AND(ISNUMBER(FIND(" ",TRIM(E12&amp;""))),ISNUMBER(MATCH(LEFT(TRIM(E12&amp;""),FIND(" ",TRIM(E12&amp;""))-1),코드표!$J$2:$J$101,0)),ISNUMBER(MATCH(TRIM(RIGHT(SUBSTITUTE(TRIM(E12&amp;"")," ",REPT(" ",60)),60)),코드표!$F$2:$F$101,0))),INDEX(코드표!$K$2:$K$101,MATCH(LEFT(TRIM(E12&amp;""),FIND(" ",TRIM(E12&amp;""))-1),코드표!$J$2:$J$101,0))&amp;" "&amp;INDEX(코드표!$G$2:$G$101,MATCH(TRIM(RIGHT(SUBSTITUTE(TRIM(E12&amp;"")," ",REPT(" ",60)),60)),코드표!$F$2:$F$101,0)),"⚠"&amp;TRIM(E12&amp;""))),"⚠"&amp;TRIM(E12&amp;""))</f>
        <v/>
      </c>
      <c r="N12" s="10">
        <f>IFERROR(IF(TRIM(F12&amp;"")="","",IF(AND(ISNUMBER(FIND(" ",TRIM(F12&amp;""))),ISNUMBER(MATCH(LEFT(TRIM(F12&amp;""),FIND(" ",TRIM(F12&amp;""))-1),코드표!$J$2:$J$101,0)),ISNUMBER(MATCH(TRIM(RIGHT(SUBSTITUTE(TRIM(F12&amp;"")," ",REPT(" ",60)),60)),코드표!$F$2:$F$101,0))),INDEX(코드표!$K$2:$K$101,MATCH(LEFT(TRIM(F12&amp;""),FIND(" ",TRIM(F12&amp;""))-1),코드표!$J$2:$J$101,0))&amp;" "&amp;INDEX(코드표!$G$2:$G$101,MATCH(TRIM(RIGHT(SUBSTITUTE(TRIM(F12&amp;"")," ",REPT(" ",60)),60)),코드표!$F$2:$F$101,0)),"⚠"&amp;TRIM(F12&amp;""))),"⚠"&amp;TRIM(F12&amp;""))</f>
        <v/>
      </c>
      <c r="O12" s="10">
        <f>IFERROR(IF(TRIM(G12&amp;"")="","",IF(AND(ISNUMBER(FIND(" ",TRIM(G12&amp;""))),ISNUMBER(MATCH(LEFT(TRIM(G12&amp;""),FIND(" ",TRIM(G12&amp;""))-1),코드표!$J$2:$J$101,0)),ISNUMBER(MATCH(TRIM(RIGHT(SUBSTITUTE(TRIM(G12&amp;"")," ",REPT(" ",60)),60)),코드표!$F$2:$F$101,0))),INDEX(코드표!$K$2:$K$101,MATCH(LEFT(TRIM(G12&amp;""),FIND(" ",TRIM(G12&amp;""))-1),코드표!$J$2:$J$101,0))&amp;" "&amp;INDEX(코드표!$G$2:$G$101,MATCH(TRIM(RIGHT(SUBSTITUTE(TRIM(G12&amp;"")," ",REPT(" ",60)),60)),코드표!$F$2:$F$101,0)),"⚠"&amp;TRIM(G12&amp;""))),"⚠"&amp;TRIM(G12&amp;""))</f>
        <v/>
      </c>
      <c r="P12" s="10">
        <f>IFERROR(IF(TRIM(H12&amp;"")="","",IF(AND(ISNUMBER(FIND(" ",TRIM(H12&amp;""))),ISNUMBER(MATCH(LEFT(TRIM(H12&amp;""),FIND(" ",TRIM(H12&amp;""))-1),코드표!$J$2:$J$101,0)),ISNUMBER(MATCH(TRIM(RIGHT(SUBSTITUTE(TRIM(H12&amp;"")," ",REPT(" ",60)),60)),코드표!$F$2:$F$101,0))),INDEX(코드표!$K$2:$K$101,MATCH(LEFT(TRIM(H12&amp;""),FIND(" ",TRIM(H12&amp;""))-1),코드표!$J$2:$J$101,0))&amp;" "&amp;INDEX(코드표!$G$2:$G$101,MATCH(TRIM(RIGHT(SUBSTITUTE(TRIM(H12&amp;"")," ",REPT(" ",60)),60)),코드표!$F$2:$F$101,0)),"⚠"&amp;TRIM(H12&amp;""))),"⚠"&amp;TRIM(H12&amp;""))</f>
        <v/>
      </c>
      <c r="Q12" s="10">
        <f>IFERROR(IF(TRIM(I12&amp;"")="","",IF(AND(ISNUMBER(FIND(" ",TRIM(I12&amp;""))),ISNUMBER(MATCH(LEFT(TRIM(I12&amp;""),FIND(" ",TRIM(I12&amp;""))-1),코드표!$J$2:$J$101,0)),ISNUMBER(MATCH(TRIM(RIGHT(SUBSTITUTE(TRIM(I12&amp;"")," ",REPT(" ",60)),60)),코드표!$F$2:$F$101,0))),INDEX(코드표!$K$2:$K$101,MATCH(LEFT(TRIM(I12&amp;""),FIND(" ",TRIM(I12&amp;""))-1),코드표!$J$2:$J$101,0))&amp;" "&amp;INDEX(코드표!$G$2:$G$101,MATCH(TRIM(RIGHT(SUBSTITUTE(TRIM(I12&amp;"")," ",REPT(" ",60)),60)),코드표!$F$2:$F$101,0)),"⚠"&amp;TRIM(I12&amp;""))),"⚠"&amp;TRIM(I12&amp;""))</f>
        <v/>
      </c>
      <c r="R12" s="10">
        <f>IFERROR(IF(TRIM(J12&amp;"")="","",IF(AND(ISNUMBER(FIND(" ",TRIM(J12&amp;""))),ISNUMBER(MATCH(LEFT(TRIM(J12&amp;""),FIND(" ",TRIM(J12&amp;""))-1),코드표!$J$2:$J$101,0)),ISNUMBER(MATCH(TRIM(RIGHT(SUBSTITUTE(TRIM(J12&amp;"")," ",REPT(" ",60)),60)),코드표!$F$2:$F$101,0))),INDEX(코드표!$K$2:$K$101,MATCH(LEFT(TRIM(J12&amp;""),FIND(" ",TRIM(J12&amp;""))-1),코드표!$J$2:$J$101,0))&amp;" "&amp;INDEX(코드표!$G$2:$G$101,MATCH(TRIM(RIGHT(SUBSTITUTE(TRIM(J12&amp;"")," ",REPT(" ",60)),60)),코드표!$F$2:$F$101,0)),"⚠"&amp;TRIM(J12&amp;""))),"⚠"&amp;TRIM(J12&amp;""))</f>
        <v/>
      </c>
      <c r="S12" s="11">
        <f>IF(K12="","",IFERROR(IF(AND(ROUND((VALUE(K12&amp;"")-INT(VALUE(K12&amp;"")))*100,0)&gt;=1,ROUND((VALUE(K12&amp;"")-INT(VALUE(K12&amp;"")))*100,0)&lt;=12,INT(VALUE(K12&amp;""))&gt;=1900),DATE(INT(VALUE(K12&amp;"")),ROUND((VALUE(K12&amp;"")-INT(VALUE(K12&amp;"")))*100,0),1),K12&amp;""),K12&amp;""))</f>
        <v/>
      </c>
      <c r="T12" s="10">
        <f>COUNTIF(M12:R12,"⚠*")</f>
        <v/>
      </c>
    </row>
    <row r="13"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M13" s="10">
        <f>IFERROR(IF(TRIM(E13&amp;"")="","",IF(AND(ISNUMBER(FIND(" ",TRIM(E13&amp;""))),ISNUMBER(MATCH(LEFT(TRIM(E13&amp;""),FIND(" ",TRIM(E13&amp;""))-1),코드표!$J$2:$J$101,0)),ISNUMBER(MATCH(TRIM(RIGHT(SUBSTITUTE(TRIM(E13&amp;"")," ",REPT(" ",60)),60)),코드표!$F$2:$F$101,0))),INDEX(코드표!$K$2:$K$101,MATCH(LEFT(TRIM(E13&amp;""),FIND(" ",TRIM(E13&amp;""))-1),코드표!$J$2:$J$101,0))&amp;" "&amp;INDEX(코드표!$G$2:$G$101,MATCH(TRIM(RIGHT(SUBSTITUTE(TRIM(E13&amp;"")," ",REPT(" ",60)),60)),코드표!$F$2:$F$101,0)),"⚠"&amp;TRIM(E13&amp;""))),"⚠"&amp;TRIM(E13&amp;""))</f>
        <v/>
      </c>
      <c r="N13" s="10">
        <f>IFERROR(IF(TRIM(F13&amp;"")="","",IF(AND(ISNUMBER(FIND(" ",TRIM(F13&amp;""))),ISNUMBER(MATCH(LEFT(TRIM(F13&amp;""),FIND(" ",TRIM(F13&amp;""))-1),코드표!$J$2:$J$101,0)),ISNUMBER(MATCH(TRIM(RIGHT(SUBSTITUTE(TRIM(F13&amp;"")," ",REPT(" ",60)),60)),코드표!$F$2:$F$101,0))),INDEX(코드표!$K$2:$K$101,MATCH(LEFT(TRIM(F13&amp;""),FIND(" ",TRIM(F13&amp;""))-1),코드표!$J$2:$J$101,0))&amp;" "&amp;INDEX(코드표!$G$2:$G$101,MATCH(TRIM(RIGHT(SUBSTITUTE(TRIM(F13&amp;"")," ",REPT(" ",60)),60)),코드표!$F$2:$F$101,0)),"⚠"&amp;TRIM(F13&amp;""))),"⚠"&amp;TRIM(F13&amp;""))</f>
        <v/>
      </c>
      <c r="O13" s="10">
        <f>IFERROR(IF(TRIM(G13&amp;"")="","",IF(AND(ISNUMBER(FIND(" ",TRIM(G13&amp;""))),ISNUMBER(MATCH(LEFT(TRIM(G13&amp;""),FIND(" ",TRIM(G13&amp;""))-1),코드표!$J$2:$J$101,0)),ISNUMBER(MATCH(TRIM(RIGHT(SUBSTITUTE(TRIM(G13&amp;"")," ",REPT(" ",60)),60)),코드표!$F$2:$F$101,0))),INDEX(코드표!$K$2:$K$101,MATCH(LEFT(TRIM(G13&amp;""),FIND(" ",TRIM(G13&amp;""))-1),코드표!$J$2:$J$101,0))&amp;" "&amp;INDEX(코드표!$G$2:$G$101,MATCH(TRIM(RIGHT(SUBSTITUTE(TRIM(G13&amp;"")," ",REPT(" ",60)),60)),코드표!$F$2:$F$101,0)),"⚠"&amp;TRIM(G13&amp;""))),"⚠"&amp;TRIM(G13&amp;""))</f>
        <v/>
      </c>
      <c r="P13" s="10">
        <f>IFERROR(IF(TRIM(H13&amp;"")="","",IF(AND(ISNUMBER(FIND(" ",TRIM(H13&amp;""))),ISNUMBER(MATCH(LEFT(TRIM(H13&amp;""),FIND(" ",TRIM(H13&amp;""))-1),코드표!$J$2:$J$101,0)),ISNUMBER(MATCH(TRIM(RIGHT(SUBSTITUTE(TRIM(H13&amp;"")," ",REPT(" ",60)),60)),코드표!$F$2:$F$101,0))),INDEX(코드표!$K$2:$K$101,MATCH(LEFT(TRIM(H13&amp;""),FIND(" ",TRIM(H13&amp;""))-1),코드표!$J$2:$J$101,0))&amp;" "&amp;INDEX(코드표!$G$2:$G$101,MATCH(TRIM(RIGHT(SUBSTITUTE(TRIM(H13&amp;"")," ",REPT(" ",60)),60)),코드표!$F$2:$F$101,0)),"⚠"&amp;TRIM(H13&amp;""))),"⚠"&amp;TRIM(H13&amp;""))</f>
        <v/>
      </c>
      <c r="Q13" s="10">
        <f>IFERROR(IF(TRIM(I13&amp;"")="","",IF(AND(ISNUMBER(FIND(" ",TRIM(I13&amp;""))),ISNUMBER(MATCH(LEFT(TRIM(I13&amp;""),FIND(" ",TRIM(I13&amp;""))-1),코드표!$J$2:$J$101,0)),ISNUMBER(MATCH(TRIM(RIGHT(SUBSTITUTE(TRIM(I13&amp;"")," ",REPT(" ",60)),60)),코드표!$F$2:$F$101,0))),INDEX(코드표!$K$2:$K$101,MATCH(LEFT(TRIM(I13&amp;""),FIND(" ",TRIM(I13&amp;""))-1),코드표!$J$2:$J$101,0))&amp;" "&amp;INDEX(코드표!$G$2:$G$101,MATCH(TRIM(RIGHT(SUBSTITUTE(TRIM(I13&amp;"")," ",REPT(" ",60)),60)),코드표!$F$2:$F$101,0)),"⚠"&amp;TRIM(I13&amp;""))),"⚠"&amp;TRIM(I13&amp;""))</f>
        <v/>
      </c>
      <c r="R13" s="10">
        <f>IFERROR(IF(TRIM(J13&amp;"")="","",IF(AND(ISNUMBER(FIND(" ",TRIM(J13&amp;""))),ISNUMBER(MATCH(LEFT(TRIM(J13&amp;""),FIND(" ",TRIM(J13&amp;""))-1),코드표!$J$2:$J$101,0)),ISNUMBER(MATCH(TRIM(RIGHT(SUBSTITUTE(TRIM(J13&amp;"")," ",REPT(" ",60)),60)),코드표!$F$2:$F$101,0))),INDEX(코드표!$K$2:$K$101,MATCH(LEFT(TRIM(J13&amp;""),FIND(" ",TRIM(J13&amp;""))-1),코드표!$J$2:$J$101,0))&amp;" "&amp;INDEX(코드표!$G$2:$G$101,MATCH(TRIM(RIGHT(SUBSTITUTE(TRIM(J13&amp;"")," ",REPT(" ",60)),60)),코드표!$F$2:$F$101,0)),"⚠"&amp;TRIM(J13&amp;""))),"⚠"&amp;TRIM(J13&amp;""))</f>
        <v/>
      </c>
      <c r="S13" s="11">
        <f>IF(K13="","",IFERROR(IF(AND(ROUND((VALUE(K13&amp;"")-INT(VALUE(K13&amp;"")))*100,0)&gt;=1,ROUND((VALUE(K13&amp;"")-INT(VALUE(K13&amp;"")))*100,0)&lt;=12,INT(VALUE(K13&amp;""))&gt;=1900),DATE(INT(VALUE(K13&amp;"")),ROUND((VALUE(K13&amp;"")-INT(VALUE(K13&amp;"")))*100,0),1),K13&amp;""),K13&amp;""))</f>
        <v/>
      </c>
      <c r="T13" s="10">
        <f>COUNTIF(M13:R13,"⚠*")</f>
        <v/>
      </c>
    </row>
    <row r="14"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M14" s="10">
        <f>IFERROR(IF(TRIM(E14&amp;"")="","",IF(AND(ISNUMBER(FIND(" ",TRIM(E14&amp;""))),ISNUMBER(MATCH(LEFT(TRIM(E14&amp;""),FIND(" ",TRIM(E14&amp;""))-1),코드표!$J$2:$J$101,0)),ISNUMBER(MATCH(TRIM(RIGHT(SUBSTITUTE(TRIM(E14&amp;"")," ",REPT(" ",60)),60)),코드표!$F$2:$F$101,0))),INDEX(코드표!$K$2:$K$101,MATCH(LEFT(TRIM(E14&amp;""),FIND(" ",TRIM(E14&amp;""))-1),코드표!$J$2:$J$101,0))&amp;" "&amp;INDEX(코드표!$G$2:$G$101,MATCH(TRIM(RIGHT(SUBSTITUTE(TRIM(E14&amp;"")," ",REPT(" ",60)),60)),코드표!$F$2:$F$101,0)),"⚠"&amp;TRIM(E14&amp;""))),"⚠"&amp;TRIM(E14&amp;""))</f>
        <v/>
      </c>
      <c r="N14" s="10">
        <f>IFERROR(IF(TRIM(F14&amp;"")="","",IF(AND(ISNUMBER(FIND(" ",TRIM(F14&amp;""))),ISNUMBER(MATCH(LEFT(TRIM(F14&amp;""),FIND(" ",TRIM(F14&amp;""))-1),코드표!$J$2:$J$101,0)),ISNUMBER(MATCH(TRIM(RIGHT(SUBSTITUTE(TRIM(F14&amp;"")," ",REPT(" ",60)),60)),코드표!$F$2:$F$101,0))),INDEX(코드표!$K$2:$K$101,MATCH(LEFT(TRIM(F14&amp;""),FIND(" ",TRIM(F14&amp;""))-1),코드표!$J$2:$J$101,0))&amp;" "&amp;INDEX(코드표!$G$2:$G$101,MATCH(TRIM(RIGHT(SUBSTITUTE(TRIM(F14&amp;"")," ",REPT(" ",60)),60)),코드표!$F$2:$F$101,0)),"⚠"&amp;TRIM(F14&amp;""))),"⚠"&amp;TRIM(F14&amp;""))</f>
        <v/>
      </c>
      <c r="O14" s="10">
        <f>IFERROR(IF(TRIM(G14&amp;"")="","",IF(AND(ISNUMBER(FIND(" ",TRIM(G14&amp;""))),ISNUMBER(MATCH(LEFT(TRIM(G14&amp;""),FIND(" ",TRIM(G14&amp;""))-1),코드표!$J$2:$J$101,0)),ISNUMBER(MATCH(TRIM(RIGHT(SUBSTITUTE(TRIM(G14&amp;"")," ",REPT(" ",60)),60)),코드표!$F$2:$F$101,0))),INDEX(코드표!$K$2:$K$101,MATCH(LEFT(TRIM(G14&amp;""),FIND(" ",TRIM(G14&amp;""))-1),코드표!$J$2:$J$101,0))&amp;" "&amp;INDEX(코드표!$G$2:$G$101,MATCH(TRIM(RIGHT(SUBSTITUTE(TRIM(G14&amp;"")," ",REPT(" ",60)),60)),코드표!$F$2:$F$101,0)),"⚠"&amp;TRIM(G14&amp;""))),"⚠"&amp;TRIM(G14&amp;""))</f>
        <v/>
      </c>
      <c r="P14" s="10">
        <f>IFERROR(IF(TRIM(H14&amp;"")="","",IF(AND(ISNUMBER(FIND(" ",TRIM(H14&amp;""))),ISNUMBER(MATCH(LEFT(TRIM(H14&amp;""),FIND(" ",TRIM(H14&amp;""))-1),코드표!$J$2:$J$101,0)),ISNUMBER(MATCH(TRIM(RIGHT(SUBSTITUTE(TRIM(H14&amp;"")," ",REPT(" ",60)),60)),코드표!$F$2:$F$101,0))),INDEX(코드표!$K$2:$K$101,MATCH(LEFT(TRIM(H14&amp;""),FIND(" ",TRIM(H14&amp;""))-1),코드표!$J$2:$J$101,0))&amp;" "&amp;INDEX(코드표!$G$2:$G$101,MATCH(TRIM(RIGHT(SUBSTITUTE(TRIM(H14&amp;"")," ",REPT(" ",60)),60)),코드표!$F$2:$F$101,0)),"⚠"&amp;TRIM(H14&amp;""))),"⚠"&amp;TRIM(H14&amp;""))</f>
        <v/>
      </c>
      <c r="Q14" s="10">
        <f>IFERROR(IF(TRIM(I14&amp;"")="","",IF(AND(ISNUMBER(FIND(" ",TRIM(I14&amp;""))),ISNUMBER(MATCH(LEFT(TRIM(I14&amp;""),FIND(" ",TRIM(I14&amp;""))-1),코드표!$J$2:$J$101,0)),ISNUMBER(MATCH(TRIM(RIGHT(SUBSTITUTE(TRIM(I14&amp;"")," ",REPT(" ",60)),60)),코드표!$F$2:$F$101,0))),INDEX(코드표!$K$2:$K$101,MATCH(LEFT(TRIM(I14&amp;""),FIND(" ",TRIM(I14&amp;""))-1),코드표!$J$2:$J$101,0))&amp;" "&amp;INDEX(코드표!$G$2:$G$101,MATCH(TRIM(RIGHT(SUBSTITUTE(TRIM(I14&amp;"")," ",REPT(" ",60)),60)),코드표!$F$2:$F$101,0)),"⚠"&amp;TRIM(I14&amp;""))),"⚠"&amp;TRIM(I14&amp;""))</f>
        <v/>
      </c>
      <c r="R14" s="10">
        <f>IFERROR(IF(TRIM(J14&amp;"")="","",IF(AND(ISNUMBER(FIND(" ",TRIM(J14&amp;""))),ISNUMBER(MATCH(LEFT(TRIM(J14&amp;""),FIND(" ",TRIM(J14&amp;""))-1),코드표!$J$2:$J$101,0)),ISNUMBER(MATCH(TRIM(RIGHT(SUBSTITUTE(TRIM(J14&amp;"")," ",REPT(" ",60)),60)),코드표!$F$2:$F$101,0))),INDEX(코드표!$K$2:$K$101,MATCH(LEFT(TRIM(J14&amp;""),FIND(" ",TRIM(J14&amp;""))-1),코드표!$J$2:$J$101,0))&amp;" "&amp;INDEX(코드표!$G$2:$G$101,MATCH(TRIM(RIGHT(SUBSTITUTE(TRIM(J14&amp;"")," ",REPT(" ",60)),60)),코드표!$F$2:$F$101,0)),"⚠"&amp;TRIM(J14&amp;""))),"⚠"&amp;TRIM(J14&amp;""))</f>
        <v/>
      </c>
      <c r="S14" s="11">
        <f>IF(K14="","",IFERROR(IF(AND(ROUND((VALUE(K14&amp;"")-INT(VALUE(K14&amp;"")))*100,0)&gt;=1,ROUND((VALUE(K14&amp;"")-INT(VALUE(K14&amp;"")))*100,0)&lt;=12,INT(VALUE(K14&amp;""))&gt;=1900),DATE(INT(VALUE(K14&amp;"")),ROUND((VALUE(K14&amp;"")-INT(VALUE(K14&amp;"")))*100,0),1),K14&amp;""),K14&amp;""))</f>
        <v/>
      </c>
      <c r="T14" s="10">
        <f>COUNTIF(M14:R14,"⚠*")</f>
        <v/>
      </c>
    </row>
    <row r="15"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M15" s="10">
        <f>IFERROR(IF(TRIM(E15&amp;"")="","",IF(AND(ISNUMBER(FIND(" ",TRIM(E15&amp;""))),ISNUMBER(MATCH(LEFT(TRIM(E15&amp;""),FIND(" ",TRIM(E15&amp;""))-1),코드표!$J$2:$J$101,0)),ISNUMBER(MATCH(TRIM(RIGHT(SUBSTITUTE(TRIM(E15&amp;"")," ",REPT(" ",60)),60)),코드표!$F$2:$F$101,0))),INDEX(코드표!$K$2:$K$101,MATCH(LEFT(TRIM(E15&amp;""),FIND(" ",TRIM(E15&amp;""))-1),코드표!$J$2:$J$101,0))&amp;" "&amp;INDEX(코드표!$G$2:$G$101,MATCH(TRIM(RIGHT(SUBSTITUTE(TRIM(E15&amp;"")," ",REPT(" ",60)),60)),코드표!$F$2:$F$101,0)),"⚠"&amp;TRIM(E15&amp;""))),"⚠"&amp;TRIM(E15&amp;""))</f>
        <v/>
      </c>
      <c r="N15" s="10">
        <f>IFERROR(IF(TRIM(F15&amp;"")="","",IF(AND(ISNUMBER(FIND(" ",TRIM(F15&amp;""))),ISNUMBER(MATCH(LEFT(TRIM(F15&amp;""),FIND(" ",TRIM(F15&amp;""))-1),코드표!$J$2:$J$101,0)),ISNUMBER(MATCH(TRIM(RIGHT(SUBSTITUTE(TRIM(F15&amp;"")," ",REPT(" ",60)),60)),코드표!$F$2:$F$101,0))),INDEX(코드표!$K$2:$K$101,MATCH(LEFT(TRIM(F15&amp;""),FIND(" ",TRIM(F15&amp;""))-1),코드표!$J$2:$J$101,0))&amp;" "&amp;INDEX(코드표!$G$2:$G$101,MATCH(TRIM(RIGHT(SUBSTITUTE(TRIM(F15&amp;"")," ",REPT(" ",60)),60)),코드표!$F$2:$F$101,0)),"⚠"&amp;TRIM(F15&amp;""))),"⚠"&amp;TRIM(F15&amp;""))</f>
        <v/>
      </c>
      <c r="O15" s="10">
        <f>IFERROR(IF(TRIM(G15&amp;"")="","",IF(AND(ISNUMBER(FIND(" ",TRIM(G15&amp;""))),ISNUMBER(MATCH(LEFT(TRIM(G15&amp;""),FIND(" ",TRIM(G15&amp;""))-1),코드표!$J$2:$J$101,0)),ISNUMBER(MATCH(TRIM(RIGHT(SUBSTITUTE(TRIM(G15&amp;"")," ",REPT(" ",60)),60)),코드표!$F$2:$F$101,0))),INDEX(코드표!$K$2:$K$101,MATCH(LEFT(TRIM(G15&amp;""),FIND(" ",TRIM(G15&amp;""))-1),코드표!$J$2:$J$101,0))&amp;" "&amp;INDEX(코드표!$G$2:$G$101,MATCH(TRIM(RIGHT(SUBSTITUTE(TRIM(G15&amp;"")," ",REPT(" ",60)),60)),코드표!$F$2:$F$101,0)),"⚠"&amp;TRIM(G15&amp;""))),"⚠"&amp;TRIM(G15&amp;""))</f>
        <v/>
      </c>
      <c r="P15" s="10">
        <f>IFERROR(IF(TRIM(H15&amp;"")="","",IF(AND(ISNUMBER(FIND(" ",TRIM(H15&amp;""))),ISNUMBER(MATCH(LEFT(TRIM(H15&amp;""),FIND(" ",TRIM(H15&amp;""))-1),코드표!$J$2:$J$101,0)),ISNUMBER(MATCH(TRIM(RIGHT(SUBSTITUTE(TRIM(H15&amp;"")," ",REPT(" ",60)),60)),코드표!$F$2:$F$101,0))),INDEX(코드표!$K$2:$K$101,MATCH(LEFT(TRIM(H15&amp;""),FIND(" ",TRIM(H15&amp;""))-1),코드표!$J$2:$J$101,0))&amp;" "&amp;INDEX(코드표!$G$2:$G$101,MATCH(TRIM(RIGHT(SUBSTITUTE(TRIM(H15&amp;"")," ",REPT(" ",60)),60)),코드표!$F$2:$F$101,0)),"⚠"&amp;TRIM(H15&amp;""))),"⚠"&amp;TRIM(H15&amp;""))</f>
        <v/>
      </c>
      <c r="Q15" s="10">
        <f>IFERROR(IF(TRIM(I15&amp;"")="","",IF(AND(ISNUMBER(FIND(" ",TRIM(I15&amp;""))),ISNUMBER(MATCH(LEFT(TRIM(I15&amp;""),FIND(" ",TRIM(I15&amp;""))-1),코드표!$J$2:$J$101,0)),ISNUMBER(MATCH(TRIM(RIGHT(SUBSTITUTE(TRIM(I15&amp;"")," ",REPT(" ",60)),60)),코드표!$F$2:$F$101,0))),INDEX(코드표!$K$2:$K$101,MATCH(LEFT(TRIM(I15&amp;""),FIND(" ",TRIM(I15&amp;""))-1),코드표!$J$2:$J$101,0))&amp;" "&amp;INDEX(코드표!$G$2:$G$101,MATCH(TRIM(RIGHT(SUBSTITUTE(TRIM(I15&amp;"")," ",REPT(" ",60)),60)),코드표!$F$2:$F$101,0)),"⚠"&amp;TRIM(I15&amp;""))),"⚠"&amp;TRIM(I15&amp;""))</f>
        <v/>
      </c>
      <c r="R15" s="10">
        <f>IFERROR(IF(TRIM(J15&amp;"")="","",IF(AND(ISNUMBER(FIND(" ",TRIM(J15&amp;""))),ISNUMBER(MATCH(LEFT(TRIM(J15&amp;""),FIND(" ",TRIM(J15&amp;""))-1),코드표!$J$2:$J$101,0)),ISNUMBER(MATCH(TRIM(RIGHT(SUBSTITUTE(TRIM(J15&amp;"")," ",REPT(" ",60)),60)),코드표!$F$2:$F$101,0))),INDEX(코드표!$K$2:$K$101,MATCH(LEFT(TRIM(J15&amp;""),FIND(" ",TRIM(J15&amp;""))-1),코드표!$J$2:$J$101,0))&amp;" "&amp;INDEX(코드표!$G$2:$G$101,MATCH(TRIM(RIGHT(SUBSTITUTE(TRIM(J15&amp;"")," ",REPT(" ",60)),60)),코드표!$F$2:$F$101,0)),"⚠"&amp;TRIM(J15&amp;""))),"⚠"&amp;TRIM(J15&amp;""))</f>
        <v/>
      </c>
      <c r="S15" s="11">
        <f>IF(K15="","",IFERROR(IF(AND(ROUND((VALUE(K15&amp;"")-INT(VALUE(K15&amp;"")))*100,0)&gt;=1,ROUND((VALUE(K15&amp;"")-INT(VALUE(K15&amp;"")))*100,0)&lt;=12,INT(VALUE(K15&amp;""))&gt;=1900),DATE(INT(VALUE(K15&amp;"")),ROUND((VALUE(K15&amp;"")-INT(VALUE(K15&amp;"")))*100,0),1),K15&amp;""),K15&amp;""))</f>
        <v/>
      </c>
      <c r="T15" s="10">
        <f>COUNTIF(M15:R15,"⚠*")</f>
        <v/>
      </c>
    </row>
    <row r="16"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M16" s="10">
        <f>IFERROR(IF(TRIM(E16&amp;"")="","",IF(AND(ISNUMBER(FIND(" ",TRIM(E16&amp;""))),ISNUMBER(MATCH(LEFT(TRIM(E16&amp;""),FIND(" ",TRIM(E16&amp;""))-1),코드표!$J$2:$J$101,0)),ISNUMBER(MATCH(TRIM(RIGHT(SUBSTITUTE(TRIM(E16&amp;"")," ",REPT(" ",60)),60)),코드표!$F$2:$F$101,0))),INDEX(코드표!$K$2:$K$101,MATCH(LEFT(TRIM(E16&amp;""),FIND(" ",TRIM(E16&amp;""))-1),코드표!$J$2:$J$101,0))&amp;" "&amp;INDEX(코드표!$G$2:$G$101,MATCH(TRIM(RIGHT(SUBSTITUTE(TRIM(E16&amp;"")," ",REPT(" ",60)),60)),코드표!$F$2:$F$101,0)),"⚠"&amp;TRIM(E16&amp;""))),"⚠"&amp;TRIM(E16&amp;""))</f>
        <v/>
      </c>
      <c r="N16" s="10">
        <f>IFERROR(IF(TRIM(F16&amp;"")="","",IF(AND(ISNUMBER(FIND(" ",TRIM(F16&amp;""))),ISNUMBER(MATCH(LEFT(TRIM(F16&amp;""),FIND(" ",TRIM(F16&amp;""))-1),코드표!$J$2:$J$101,0)),ISNUMBER(MATCH(TRIM(RIGHT(SUBSTITUTE(TRIM(F16&amp;"")," ",REPT(" ",60)),60)),코드표!$F$2:$F$101,0))),INDEX(코드표!$K$2:$K$101,MATCH(LEFT(TRIM(F16&amp;""),FIND(" ",TRIM(F16&amp;""))-1),코드표!$J$2:$J$101,0))&amp;" "&amp;INDEX(코드표!$G$2:$G$101,MATCH(TRIM(RIGHT(SUBSTITUTE(TRIM(F16&amp;"")," ",REPT(" ",60)),60)),코드표!$F$2:$F$101,0)),"⚠"&amp;TRIM(F16&amp;""))),"⚠"&amp;TRIM(F16&amp;""))</f>
        <v/>
      </c>
      <c r="O16" s="10">
        <f>IFERROR(IF(TRIM(G16&amp;"")="","",IF(AND(ISNUMBER(FIND(" ",TRIM(G16&amp;""))),ISNUMBER(MATCH(LEFT(TRIM(G16&amp;""),FIND(" ",TRIM(G16&amp;""))-1),코드표!$J$2:$J$101,0)),ISNUMBER(MATCH(TRIM(RIGHT(SUBSTITUTE(TRIM(G16&amp;"")," ",REPT(" ",60)),60)),코드표!$F$2:$F$101,0))),INDEX(코드표!$K$2:$K$101,MATCH(LEFT(TRIM(G16&amp;""),FIND(" ",TRIM(G16&amp;""))-1),코드표!$J$2:$J$101,0))&amp;" "&amp;INDEX(코드표!$G$2:$G$101,MATCH(TRIM(RIGHT(SUBSTITUTE(TRIM(G16&amp;"")," ",REPT(" ",60)),60)),코드표!$F$2:$F$101,0)),"⚠"&amp;TRIM(G16&amp;""))),"⚠"&amp;TRIM(G16&amp;""))</f>
        <v/>
      </c>
      <c r="P16" s="10">
        <f>IFERROR(IF(TRIM(H16&amp;"")="","",IF(AND(ISNUMBER(FIND(" ",TRIM(H16&amp;""))),ISNUMBER(MATCH(LEFT(TRIM(H16&amp;""),FIND(" ",TRIM(H16&amp;""))-1),코드표!$J$2:$J$101,0)),ISNUMBER(MATCH(TRIM(RIGHT(SUBSTITUTE(TRIM(H16&amp;"")," ",REPT(" ",60)),60)),코드표!$F$2:$F$101,0))),INDEX(코드표!$K$2:$K$101,MATCH(LEFT(TRIM(H16&amp;""),FIND(" ",TRIM(H16&amp;""))-1),코드표!$J$2:$J$101,0))&amp;" "&amp;INDEX(코드표!$G$2:$G$101,MATCH(TRIM(RIGHT(SUBSTITUTE(TRIM(H16&amp;"")," ",REPT(" ",60)),60)),코드표!$F$2:$F$101,0)),"⚠"&amp;TRIM(H16&amp;""))),"⚠"&amp;TRIM(H16&amp;""))</f>
        <v/>
      </c>
      <c r="Q16" s="10">
        <f>IFERROR(IF(TRIM(I16&amp;"")="","",IF(AND(ISNUMBER(FIND(" ",TRIM(I16&amp;""))),ISNUMBER(MATCH(LEFT(TRIM(I16&amp;""),FIND(" ",TRIM(I16&amp;""))-1),코드표!$J$2:$J$101,0)),ISNUMBER(MATCH(TRIM(RIGHT(SUBSTITUTE(TRIM(I16&amp;"")," ",REPT(" ",60)),60)),코드표!$F$2:$F$101,0))),INDEX(코드표!$K$2:$K$101,MATCH(LEFT(TRIM(I16&amp;""),FIND(" ",TRIM(I16&amp;""))-1),코드표!$J$2:$J$101,0))&amp;" "&amp;INDEX(코드표!$G$2:$G$101,MATCH(TRIM(RIGHT(SUBSTITUTE(TRIM(I16&amp;"")," ",REPT(" ",60)),60)),코드표!$F$2:$F$101,0)),"⚠"&amp;TRIM(I16&amp;""))),"⚠"&amp;TRIM(I16&amp;""))</f>
        <v/>
      </c>
      <c r="R16" s="10">
        <f>IFERROR(IF(TRIM(J16&amp;"")="","",IF(AND(ISNUMBER(FIND(" ",TRIM(J16&amp;""))),ISNUMBER(MATCH(LEFT(TRIM(J16&amp;""),FIND(" ",TRIM(J16&amp;""))-1),코드표!$J$2:$J$101,0)),ISNUMBER(MATCH(TRIM(RIGHT(SUBSTITUTE(TRIM(J16&amp;"")," ",REPT(" ",60)),60)),코드표!$F$2:$F$101,0))),INDEX(코드표!$K$2:$K$101,MATCH(LEFT(TRIM(J16&amp;""),FIND(" ",TRIM(J16&amp;""))-1),코드표!$J$2:$J$101,0))&amp;" "&amp;INDEX(코드표!$G$2:$G$101,MATCH(TRIM(RIGHT(SUBSTITUTE(TRIM(J16&amp;"")," ",REPT(" ",60)),60)),코드표!$F$2:$F$101,0)),"⚠"&amp;TRIM(J16&amp;""))),"⚠"&amp;TRIM(J16&amp;""))</f>
        <v/>
      </c>
      <c r="S16" s="11">
        <f>IF(K16="","",IFERROR(IF(AND(ROUND((VALUE(K16&amp;"")-INT(VALUE(K16&amp;"")))*100,0)&gt;=1,ROUND((VALUE(K16&amp;"")-INT(VALUE(K16&amp;"")))*100,0)&lt;=12,INT(VALUE(K16&amp;""))&gt;=1900),DATE(INT(VALUE(K16&amp;"")),ROUND((VALUE(K16&amp;"")-INT(VALUE(K16&amp;"")))*100,0),1),K16&amp;""),K16&amp;""))</f>
        <v/>
      </c>
      <c r="T16" s="10">
        <f>COUNTIF(M16:R16,"⚠*")</f>
        <v/>
      </c>
    </row>
    <row r="17"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M17" s="10">
        <f>IFERROR(IF(TRIM(E17&amp;"")="","",IF(AND(ISNUMBER(FIND(" ",TRIM(E17&amp;""))),ISNUMBER(MATCH(LEFT(TRIM(E17&amp;""),FIND(" ",TRIM(E17&amp;""))-1),코드표!$J$2:$J$101,0)),ISNUMBER(MATCH(TRIM(RIGHT(SUBSTITUTE(TRIM(E17&amp;"")," ",REPT(" ",60)),60)),코드표!$F$2:$F$101,0))),INDEX(코드표!$K$2:$K$101,MATCH(LEFT(TRIM(E17&amp;""),FIND(" ",TRIM(E17&amp;""))-1),코드표!$J$2:$J$101,0))&amp;" "&amp;INDEX(코드표!$G$2:$G$101,MATCH(TRIM(RIGHT(SUBSTITUTE(TRIM(E17&amp;"")," ",REPT(" ",60)),60)),코드표!$F$2:$F$101,0)),"⚠"&amp;TRIM(E17&amp;""))),"⚠"&amp;TRIM(E17&amp;""))</f>
        <v/>
      </c>
      <c r="N17" s="10">
        <f>IFERROR(IF(TRIM(F17&amp;"")="","",IF(AND(ISNUMBER(FIND(" ",TRIM(F17&amp;""))),ISNUMBER(MATCH(LEFT(TRIM(F17&amp;""),FIND(" ",TRIM(F17&amp;""))-1),코드표!$J$2:$J$101,0)),ISNUMBER(MATCH(TRIM(RIGHT(SUBSTITUTE(TRIM(F17&amp;"")," ",REPT(" ",60)),60)),코드표!$F$2:$F$101,0))),INDEX(코드표!$K$2:$K$101,MATCH(LEFT(TRIM(F17&amp;""),FIND(" ",TRIM(F17&amp;""))-1),코드표!$J$2:$J$101,0))&amp;" "&amp;INDEX(코드표!$G$2:$G$101,MATCH(TRIM(RIGHT(SUBSTITUTE(TRIM(F17&amp;"")," ",REPT(" ",60)),60)),코드표!$F$2:$F$101,0)),"⚠"&amp;TRIM(F17&amp;""))),"⚠"&amp;TRIM(F17&amp;""))</f>
        <v/>
      </c>
      <c r="O17" s="10">
        <f>IFERROR(IF(TRIM(G17&amp;"")="","",IF(AND(ISNUMBER(FIND(" ",TRIM(G17&amp;""))),ISNUMBER(MATCH(LEFT(TRIM(G17&amp;""),FIND(" ",TRIM(G17&amp;""))-1),코드표!$J$2:$J$101,0)),ISNUMBER(MATCH(TRIM(RIGHT(SUBSTITUTE(TRIM(G17&amp;"")," ",REPT(" ",60)),60)),코드표!$F$2:$F$101,0))),INDEX(코드표!$K$2:$K$101,MATCH(LEFT(TRIM(G17&amp;""),FIND(" ",TRIM(G17&amp;""))-1),코드표!$J$2:$J$101,0))&amp;" "&amp;INDEX(코드표!$G$2:$G$101,MATCH(TRIM(RIGHT(SUBSTITUTE(TRIM(G17&amp;"")," ",REPT(" ",60)),60)),코드표!$F$2:$F$101,0)),"⚠"&amp;TRIM(G17&amp;""))),"⚠"&amp;TRIM(G17&amp;""))</f>
        <v/>
      </c>
      <c r="P17" s="10">
        <f>IFERROR(IF(TRIM(H17&amp;"")="","",IF(AND(ISNUMBER(FIND(" ",TRIM(H17&amp;""))),ISNUMBER(MATCH(LEFT(TRIM(H17&amp;""),FIND(" ",TRIM(H17&amp;""))-1),코드표!$J$2:$J$101,0)),ISNUMBER(MATCH(TRIM(RIGHT(SUBSTITUTE(TRIM(H17&amp;"")," ",REPT(" ",60)),60)),코드표!$F$2:$F$101,0))),INDEX(코드표!$K$2:$K$101,MATCH(LEFT(TRIM(H17&amp;""),FIND(" ",TRIM(H17&amp;""))-1),코드표!$J$2:$J$101,0))&amp;" "&amp;INDEX(코드표!$G$2:$G$101,MATCH(TRIM(RIGHT(SUBSTITUTE(TRIM(H17&amp;"")," ",REPT(" ",60)),60)),코드표!$F$2:$F$101,0)),"⚠"&amp;TRIM(H17&amp;""))),"⚠"&amp;TRIM(H17&amp;""))</f>
        <v/>
      </c>
      <c r="Q17" s="10">
        <f>IFERROR(IF(TRIM(I17&amp;"")="","",IF(AND(ISNUMBER(FIND(" ",TRIM(I17&amp;""))),ISNUMBER(MATCH(LEFT(TRIM(I17&amp;""),FIND(" ",TRIM(I17&amp;""))-1),코드표!$J$2:$J$101,0)),ISNUMBER(MATCH(TRIM(RIGHT(SUBSTITUTE(TRIM(I17&amp;"")," ",REPT(" ",60)),60)),코드표!$F$2:$F$101,0))),INDEX(코드표!$K$2:$K$101,MATCH(LEFT(TRIM(I17&amp;""),FIND(" ",TRIM(I17&amp;""))-1),코드표!$J$2:$J$101,0))&amp;" "&amp;INDEX(코드표!$G$2:$G$101,MATCH(TRIM(RIGHT(SUBSTITUTE(TRIM(I17&amp;"")," ",REPT(" ",60)),60)),코드표!$F$2:$F$101,0)),"⚠"&amp;TRIM(I17&amp;""))),"⚠"&amp;TRIM(I17&amp;""))</f>
        <v/>
      </c>
      <c r="R17" s="10">
        <f>IFERROR(IF(TRIM(J17&amp;"")="","",IF(AND(ISNUMBER(FIND(" ",TRIM(J17&amp;""))),ISNUMBER(MATCH(LEFT(TRIM(J17&amp;""),FIND(" ",TRIM(J17&amp;""))-1),코드표!$J$2:$J$101,0)),ISNUMBER(MATCH(TRIM(RIGHT(SUBSTITUTE(TRIM(J17&amp;"")," ",REPT(" ",60)),60)),코드표!$F$2:$F$101,0))),INDEX(코드표!$K$2:$K$101,MATCH(LEFT(TRIM(J17&amp;""),FIND(" ",TRIM(J17&amp;""))-1),코드표!$J$2:$J$101,0))&amp;" "&amp;INDEX(코드표!$G$2:$G$101,MATCH(TRIM(RIGHT(SUBSTITUTE(TRIM(J17&amp;"")," ",REPT(" ",60)),60)),코드표!$F$2:$F$101,0)),"⚠"&amp;TRIM(J17&amp;""))),"⚠"&amp;TRIM(J17&amp;""))</f>
        <v/>
      </c>
      <c r="S17" s="11">
        <f>IF(K17="","",IFERROR(IF(AND(ROUND((VALUE(K17&amp;"")-INT(VALUE(K17&amp;"")))*100,0)&gt;=1,ROUND((VALUE(K17&amp;"")-INT(VALUE(K17&amp;"")))*100,0)&lt;=12,INT(VALUE(K17&amp;""))&gt;=1900),DATE(INT(VALUE(K17&amp;"")),ROUND((VALUE(K17&amp;"")-INT(VALUE(K17&amp;"")))*100,0),1),K17&amp;""),K17&amp;""))</f>
        <v/>
      </c>
      <c r="T17" s="10">
        <f>COUNTIF(M17:R17,"⚠*")</f>
        <v/>
      </c>
    </row>
    <row r="18"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M18" s="10">
        <f>IFERROR(IF(TRIM(E18&amp;"")="","",IF(AND(ISNUMBER(FIND(" ",TRIM(E18&amp;""))),ISNUMBER(MATCH(LEFT(TRIM(E18&amp;""),FIND(" ",TRIM(E18&amp;""))-1),코드표!$J$2:$J$101,0)),ISNUMBER(MATCH(TRIM(RIGHT(SUBSTITUTE(TRIM(E18&amp;"")," ",REPT(" ",60)),60)),코드표!$F$2:$F$101,0))),INDEX(코드표!$K$2:$K$101,MATCH(LEFT(TRIM(E18&amp;""),FIND(" ",TRIM(E18&amp;""))-1),코드표!$J$2:$J$101,0))&amp;" "&amp;INDEX(코드표!$G$2:$G$101,MATCH(TRIM(RIGHT(SUBSTITUTE(TRIM(E18&amp;"")," ",REPT(" ",60)),60)),코드표!$F$2:$F$101,0)),"⚠"&amp;TRIM(E18&amp;""))),"⚠"&amp;TRIM(E18&amp;""))</f>
        <v/>
      </c>
      <c r="N18" s="10">
        <f>IFERROR(IF(TRIM(F18&amp;"")="","",IF(AND(ISNUMBER(FIND(" ",TRIM(F18&amp;""))),ISNUMBER(MATCH(LEFT(TRIM(F18&amp;""),FIND(" ",TRIM(F18&amp;""))-1),코드표!$J$2:$J$101,0)),ISNUMBER(MATCH(TRIM(RIGHT(SUBSTITUTE(TRIM(F18&amp;"")," ",REPT(" ",60)),60)),코드표!$F$2:$F$101,0))),INDEX(코드표!$K$2:$K$101,MATCH(LEFT(TRIM(F18&amp;""),FIND(" ",TRIM(F18&amp;""))-1),코드표!$J$2:$J$101,0))&amp;" "&amp;INDEX(코드표!$G$2:$G$101,MATCH(TRIM(RIGHT(SUBSTITUTE(TRIM(F18&amp;"")," ",REPT(" ",60)),60)),코드표!$F$2:$F$101,0)),"⚠"&amp;TRIM(F18&amp;""))),"⚠"&amp;TRIM(F18&amp;""))</f>
        <v/>
      </c>
      <c r="O18" s="10">
        <f>IFERROR(IF(TRIM(G18&amp;"")="","",IF(AND(ISNUMBER(FIND(" ",TRIM(G18&amp;""))),ISNUMBER(MATCH(LEFT(TRIM(G18&amp;""),FIND(" ",TRIM(G18&amp;""))-1),코드표!$J$2:$J$101,0)),ISNUMBER(MATCH(TRIM(RIGHT(SUBSTITUTE(TRIM(G18&amp;"")," ",REPT(" ",60)),60)),코드표!$F$2:$F$101,0))),INDEX(코드표!$K$2:$K$101,MATCH(LEFT(TRIM(G18&amp;""),FIND(" ",TRIM(G18&amp;""))-1),코드표!$J$2:$J$101,0))&amp;" "&amp;INDEX(코드표!$G$2:$G$101,MATCH(TRIM(RIGHT(SUBSTITUTE(TRIM(G18&amp;"")," ",REPT(" ",60)),60)),코드표!$F$2:$F$101,0)),"⚠"&amp;TRIM(G18&amp;""))),"⚠"&amp;TRIM(G18&amp;""))</f>
        <v/>
      </c>
      <c r="P18" s="10">
        <f>IFERROR(IF(TRIM(H18&amp;"")="","",IF(AND(ISNUMBER(FIND(" ",TRIM(H18&amp;""))),ISNUMBER(MATCH(LEFT(TRIM(H18&amp;""),FIND(" ",TRIM(H18&amp;""))-1),코드표!$J$2:$J$101,0)),ISNUMBER(MATCH(TRIM(RIGHT(SUBSTITUTE(TRIM(H18&amp;"")," ",REPT(" ",60)),60)),코드표!$F$2:$F$101,0))),INDEX(코드표!$K$2:$K$101,MATCH(LEFT(TRIM(H18&amp;""),FIND(" ",TRIM(H18&amp;""))-1),코드표!$J$2:$J$101,0))&amp;" "&amp;INDEX(코드표!$G$2:$G$101,MATCH(TRIM(RIGHT(SUBSTITUTE(TRIM(H18&amp;"")," ",REPT(" ",60)),60)),코드표!$F$2:$F$101,0)),"⚠"&amp;TRIM(H18&amp;""))),"⚠"&amp;TRIM(H18&amp;""))</f>
        <v/>
      </c>
      <c r="Q18" s="10">
        <f>IFERROR(IF(TRIM(I18&amp;"")="","",IF(AND(ISNUMBER(FIND(" ",TRIM(I18&amp;""))),ISNUMBER(MATCH(LEFT(TRIM(I18&amp;""),FIND(" ",TRIM(I18&amp;""))-1),코드표!$J$2:$J$101,0)),ISNUMBER(MATCH(TRIM(RIGHT(SUBSTITUTE(TRIM(I18&amp;"")," ",REPT(" ",60)),60)),코드표!$F$2:$F$101,0))),INDEX(코드표!$K$2:$K$101,MATCH(LEFT(TRIM(I18&amp;""),FIND(" ",TRIM(I18&amp;""))-1),코드표!$J$2:$J$101,0))&amp;" "&amp;INDEX(코드표!$G$2:$G$101,MATCH(TRIM(RIGHT(SUBSTITUTE(TRIM(I18&amp;"")," ",REPT(" ",60)),60)),코드표!$F$2:$F$101,0)),"⚠"&amp;TRIM(I18&amp;""))),"⚠"&amp;TRIM(I18&amp;""))</f>
        <v/>
      </c>
      <c r="R18" s="10">
        <f>IFERROR(IF(TRIM(J18&amp;"")="","",IF(AND(ISNUMBER(FIND(" ",TRIM(J18&amp;""))),ISNUMBER(MATCH(LEFT(TRIM(J18&amp;""),FIND(" ",TRIM(J18&amp;""))-1),코드표!$J$2:$J$101,0)),ISNUMBER(MATCH(TRIM(RIGHT(SUBSTITUTE(TRIM(J18&amp;"")," ",REPT(" ",60)),60)),코드표!$F$2:$F$101,0))),INDEX(코드표!$K$2:$K$101,MATCH(LEFT(TRIM(J18&amp;""),FIND(" ",TRIM(J18&amp;""))-1),코드표!$J$2:$J$101,0))&amp;" "&amp;INDEX(코드표!$G$2:$G$101,MATCH(TRIM(RIGHT(SUBSTITUTE(TRIM(J18&amp;"")," ",REPT(" ",60)),60)),코드표!$F$2:$F$101,0)),"⚠"&amp;TRIM(J18&amp;""))),"⚠"&amp;TRIM(J18&amp;""))</f>
        <v/>
      </c>
      <c r="S18" s="11">
        <f>IF(K18="","",IFERROR(IF(AND(ROUND((VALUE(K18&amp;"")-INT(VALUE(K18&amp;"")))*100,0)&gt;=1,ROUND((VALUE(K18&amp;"")-INT(VALUE(K18&amp;"")))*100,0)&lt;=12,INT(VALUE(K18&amp;""))&gt;=1900),DATE(INT(VALUE(K18&amp;"")),ROUND((VALUE(K18&amp;"")-INT(VALUE(K18&amp;"")))*100,0),1),K18&amp;""),K18&amp;""))</f>
        <v/>
      </c>
      <c r="T18" s="10">
        <f>COUNTIF(M18:R18,"⚠*")</f>
        <v/>
      </c>
    </row>
    <row r="19"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M19" s="10">
        <f>IFERROR(IF(TRIM(E19&amp;"")="","",IF(AND(ISNUMBER(FIND(" ",TRIM(E19&amp;""))),ISNUMBER(MATCH(LEFT(TRIM(E19&amp;""),FIND(" ",TRIM(E19&amp;""))-1),코드표!$J$2:$J$101,0)),ISNUMBER(MATCH(TRIM(RIGHT(SUBSTITUTE(TRIM(E19&amp;"")," ",REPT(" ",60)),60)),코드표!$F$2:$F$101,0))),INDEX(코드표!$K$2:$K$101,MATCH(LEFT(TRIM(E19&amp;""),FIND(" ",TRIM(E19&amp;""))-1),코드표!$J$2:$J$101,0))&amp;" "&amp;INDEX(코드표!$G$2:$G$101,MATCH(TRIM(RIGHT(SUBSTITUTE(TRIM(E19&amp;"")," ",REPT(" ",60)),60)),코드표!$F$2:$F$101,0)),"⚠"&amp;TRIM(E19&amp;""))),"⚠"&amp;TRIM(E19&amp;""))</f>
        <v/>
      </c>
      <c r="N19" s="10">
        <f>IFERROR(IF(TRIM(F19&amp;"")="","",IF(AND(ISNUMBER(FIND(" ",TRIM(F19&amp;""))),ISNUMBER(MATCH(LEFT(TRIM(F19&amp;""),FIND(" ",TRIM(F19&amp;""))-1),코드표!$J$2:$J$101,0)),ISNUMBER(MATCH(TRIM(RIGHT(SUBSTITUTE(TRIM(F19&amp;"")," ",REPT(" ",60)),60)),코드표!$F$2:$F$101,0))),INDEX(코드표!$K$2:$K$101,MATCH(LEFT(TRIM(F19&amp;""),FIND(" ",TRIM(F19&amp;""))-1),코드표!$J$2:$J$101,0))&amp;" "&amp;INDEX(코드표!$G$2:$G$101,MATCH(TRIM(RIGHT(SUBSTITUTE(TRIM(F19&amp;"")," ",REPT(" ",60)),60)),코드표!$F$2:$F$101,0)),"⚠"&amp;TRIM(F19&amp;""))),"⚠"&amp;TRIM(F19&amp;""))</f>
        <v/>
      </c>
      <c r="O19" s="10">
        <f>IFERROR(IF(TRIM(G19&amp;"")="","",IF(AND(ISNUMBER(FIND(" ",TRIM(G19&amp;""))),ISNUMBER(MATCH(LEFT(TRIM(G19&amp;""),FIND(" ",TRIM(G19&amp;""))-1),코드표!$J$2:$J$101,0)),ISNUMBER(MATCH(TRIM(RIGHT(SUBSTITUTE(TRIM(G19&amp;"")," ",REPT(" ",60)),60)),코드표!$F$2:$F$101,0))),INDEX(코드표!$K$2:$K$101,MATCH(LEFT(TRIM(G19&amp;""),FIND(" ",TRIM(G19&amp;""))-1),코드표!$J$2:$J$101,0))&amp;" "&amp;INDEX(코드표!$G$2:$G$101,MATCH(TRIM(RIGHT(SUBSTITUTE(TRIM(G19&amp;"")," ",REPT(" ",60)),60)),코드표!$F$2:$F$101,0)),"⚠"&amp;TRIM(G19&amp;""))),"⚠"&amp;TRIM(G19&amp;""))</f>
        <v/>
      </c>
      <c r="P19" s="10">
        <f>IFERROR(IF(TRIM(H19&amp;"")="","",IF(AND(ISNUMBER(FIND(" ",TRIM(H19&amp;""))),ISNUMBER(MATCH(LEFT(TRIM(H19&amp;""),FIND(" ",TRIM(H19&amp;""))-1),코드표!$J$2:$J$101,0)),ISNUMBER(MATCH(TRIM(RIGHT(SUBSTITUTE(TRIM(H19&amp;"")," ",REPT(" ",60)),60)),코드표!$F$2:$F$101,0))),INDEX(코드표!$K$2:$K$101,MATCH(LEFT(TRIM(H19&amp;""),FIND(" ",TRIM(H19&amp;""))-1),코드표!$J$2:$J$101,0))&amp;" "&amp;INDEX(코드표!$G$2:$G$101,MATCH(TRIM(RIGHT(SUBSTITUTE(TRIM(H19&amp;"")," ",REPT(" ",60)),60)),코드표!$F$2:$F$101,0)),"⚠"&amp;TRIM(H19&amp;""))),"⚠"&amp;TRIM(H19&amp;""))</f>
        <v/>
      </c>
      <c r="Q19" s="10">
        <f>IFERROR(IF(TRIM(I19&amp;"")="","",IF(AND(ISNUMBER(FIND(" ",TRIM(I19&amp;""))),ISNUMBER(MATCH(LEFT(TRIM(I19&amp;""),FIND(" ",TRIM(I19&amp;""))-1),코드표!$J$2:$J$101,0)),ISNUMBER(MATCH(TRIM(RIGHT(SUBSTITUTE(TRIM(I19&amp;"")," ",REPT(" ",60)),60)),코드표!$F$2:$F$101,0))),INDEX(코드표!$K$2:$K$101,MATCH(LEFT(TRIM(I19&amp;""),FIND(" ",TRIM(I19&amp;""))-1),코드표!$J$2:$J$101,0))&amp;" "&amp;INDEX(코드표!$G$2:$G$101,MATCH(TRIM(RIGHT(SUBSTITUTE(TRIM(I19&amp;"")," ",REPT(" ",60)),60)),코드표!$F$2:$F$101,0)),"⚠"&amp;TRIM(I19&amp;""))),"⚠"&amp;TRIM(I19&amp;""))</f>
        <v/>
      </c>
      <c r="R19" s="10">
        <f>IFERROR(IF(TRIM(J19&amp;"")="","",IF(AND(ISNUMBER(FIND(" ",TRIM(J19&amp;""))),ISNUMBER(MATCH(LEFT(TRIM(J19&amp;""),FIND(" ",TRIM(J19&amp;""))-1),코드표!$J$2:$J$101,0)),ISNUMBER(MATCH(TRIM(RIGHT(SUBSTITUTE(TRIM(J19&amp;"")," ",REPT(" ",60)),60)),코드표!$F$2:$F$101,0))),INDEX(코드표!$K$2:$K$101,MATCH(LEFT(TRIM(J19&amp;""),FIND(" ",TRIM(J19&amp;""))-1),코드표!$J$2:$J$101,0))&amp;" "&amp;INDEX(코드표!$G$2:$G$101,MATCH(TRIM(RIGHT(SUBSTITUTE(TRIM(J19&amp;"")," ",REPT(" ",60)),60)),코드표!$F$2:$F$101,0)),"⚠"&amp;TRIM(J19&amp;""))),"⚠"&amp;TRIM(J19&amp;""))</f>
        <v/>
      </c>
      <c r="S19" s="11">
        <f>IF(K19="","",IFERROR(IF(AND(ROUND((VALUE(K19&amp;"")-INT(VALUE(K19&amp;"")))*100,0)&gt;=1,ROUND((VALUE(K19&amp;"")-INT(VALUE(K19&amp;"")))*100,0)&lt;=12,INT(VALUE(K19&amp;""))&gt;=1900),DATE(INT(VALUE(K19&amp;"")),ROUND((VALUE(K19&amp;"")-INT(VALUE(K19&amp;"")))*100,0),1),K19&amp;""),K19&amp;""))</f>
        <v/>
      </c>
      <c r="T19" s="10">
        <f>COUNTIF(M19:R19,"⚠*")</f>
        <v/>
      </c>
    </row>
    <row r="20"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M20" s="10">
        <f>IFERROR(IF(TRIM(E20&amp;"")="","",IF(AND(ISNUMBER(FIND(" ",TRIM(E20&amp;""))),ISNUMBER(MATCH(LEFT(TRIM(E20&amp;""),FIND(" ",TRIM(E20&amp;""))-1),코드표!$J$2:$J$101,0)),ISNUMBER(MATCH(TRIM(RIGHT(SUBSTITUTE(TRIM(E20&amp;"")," ",REPT(" ",60)),60)),코드표!$F$2:$F$101,0))),INDEX(코드표!$K$2:$K$101,MATCH(LEFT(TRIM(E20&amp;""),FIND(" ",TRIM(E20&amp;""))-1),코드표!$J$2:$J$101,0))&amp;" "&amp;INDEX(코드표!$G$2:$G$101,MATCH(TRIM(RIGHT(SUBSTITUTE(TRIM(E20&amp;"")," ",REPT(" ",60)),60)),코드표!$F$2:$F$101,0)),"⚠"&amp;TRIM(E20&amp;""))),"⚠"&amp;TRIM(E20&amp;""))</f>
        <v/>
      </c>
      <c r="N20" s="10">
        <f>IFERROR(IF(TRIM(F20&amp;"")="","",IF(AND(ISNUMBER(FIND(" ",TRIM(F20&amp;""))),ISNUMBER(MATCH(LEFT(TRIM(F20&amp;""),FIND(" ",TRIM(F20&amp;""))-1),코드표!$J$2:$J$101,0)),ISNUMBER(MATCH(TRIM(RIGHT(SUBSTITUTE(TRIM(F20&amp;"")," ",REPT(" ",60)),60)),코드표!$F$2:$F$101,0))),INDEX(코드표!$K$2:$K$101,MATCH(LEFT(TRIM(F20&amp;""),FIND(" ",TRIM(F20&amp;""))-1),코드표!$J$2:$J$101,0))&amp;" "&amp;INDEX(코드표!$G$2:$G$101,MATCH(TRIM(RIGHT(SUBSTITUTE(TRIM(F20&amp;"")," ",REPT(" ",60)),60)),코드표!$F$2:$F$101,0)),"⚠"&amp;TRIM(F20&amp;""))),"⚠"&amp;TRIM(F20&amp;""))</f>
        <v/>
      </c>
      <c r="O20" s="10">
        <f>IFERROR(IF(TRIM(G20&amp;"")="","",IF(AND(ISNUMBER(FIND(" ",TRIM(G20&amp;""))),ISNUMBER(MATCH(LEFT(TRIM(G20&amp;""),FIND(" ",TRIM(G20&amp;""))-1),코드표!$J$2:$J$101,0)),ISNUMBER(MATCH(TRIM(RIGHT(SUBSTITUTE(TRIM(G20&amp;"")," ",REPT(" ",60)),60)),코드표!$F$2:$F$101,0))),INDEX(코드표!$K$2:$K$101,MATCH(LEFT(TRIM(G20&amp;""),FIND(" ",TRIM(G20&amp;""))-1),코드표!$J$2:$J$101,0))&amp;" "&amp;INDEX(코드표!$G$2:$G$101,MATCH(TRIM(RIGHT(SUBSTITUTE(TRIM(G20&amp;"")," ",REPT(" ",60)),60)),코드표!$F$2:$F$101,0)),"⚠"&amp;TRIM(G20&amp;""))),"⚠"&amp;TRIM(G20&amp;""))</f>
        <v/>
      </c>
      <c r="P20" s="10">
        <f>IFERROR(IF(TRIM(H20&amp;"")="","",IF(AND(ISNUMBER(FIND(" ",TRIM(H20&amp;""))),ISNUMBER(MATCH(LEFT(TRIM(H20&amp;""),FIND(" ",TRIM(H20&amp;""))-1),코드표!$J$2:$J$101,0)),ISNUMBER(MATCH(TRIM(RIGHT(SUBSTITUTE(TRIM(H20&amp;"")," ",REPT(" ",60)),60)),코드표!$F$2:$F$101,0))),INDEX(코드표!$K$2:$K$101,MATCH(LEFT(TRIM(H20&amp;""),FIND(" ",TRIM(H20&amp;""))-1),코드표!$J$2:$J$101,0))&amp;" "&amp;INDEX(코드표!$G$2:$G$101,MATCH(TRIM(RIGHT(SUBSTITUTE(TRIM(H20&amp;"")," ",REPT(" ",60)),60)),코드표!$F$2:$F$101,0)),"⚠"&amp;TRIM(H20&amp;""))),"⚠"&amp;TRIM(H20&amp;""))</f>
        <v/>
      </c>
      <c r="Q20" s="10">
        <f>IFERROR(IF(TRIM(I20&amp;"")="","",IF(AND(ISNUMBER(FIND(" ",TRIM(I20&amp;""))),ISNUMBER(MATCH(LEFT(TRIM(I20&amp;""),FIND(" ",TRIM(I20&amp;""))-1),코드표!$J$2:$J$101,0)),ISNUMBER(MATCH(TRIM(RIGHT(SUBSTITUTE(TRIM(I20&amp;"")," ",REPT(" ",60)),60)),코드표!$F$2:$F$101,0))),INDEX(코드표!$K$2:$K$101,MATCH(LEFT(TRIM(I20&amp;""),FIND(" ",TRIM(I20&amp;""))-1),코드표!$J$2:$J$101,0))&amp;" "&amp;INDEX(코드표!$G$2:$G$101,MATCH(TRIM(RIGHT(SUBSTITUTE(TRIM(I20&amp;"")," ",REPT(" ",60)),60)),코드표!$F$2:$F$101,0)),"⚠"&amp;TRIM(I20&amp;""))),"⚠"&amp;TRIM(I20&amp;""))</f>
        <v/>
      </c>
      <c r="R20" s="10">
        <f>IFERROR(IF(TRIM(J20&amp;"")="","",IF(AND(ISNUMBER(FIND(" ",TRIM(J20&amp;""))),ISNUMBER(MATCH(LEFT(TRIM(J20&amp;""),FIND(" ",TRIM(J20&amp;""))-1),코드표!$J$2:$J$101,0)),ISNUMBER(MATCH(TRIM(RIGHT(SUBSTITUTE(TRIM(J20&amp;"")," ",REPT(" ",60)),60)),코드표!$F$2:$F$101,0))),INDEX(코드표!$K$2:$K$101,MATCH(LEFT(TRIM(J20&amp;""),FIND(" ",TRIM(J20&amp;""))-1),코드표!$J$2:$J$101,0))&amp;" "&amp;INDEX(코드표!$G$2:$G$101,MATCH(TRIM(RIGHT(SUBSTITUTE(TRIM(J20&amp;"")," ",REPT(" ",60)),60)),코드표!$F$2:$F$101,0)),"⚠"&amp;TRIM(J20&amp;""))),"⚠"&amp;TRIM(J20&amp;""))</f>
        <v/>
      </c>
      <c r="S20" s="11">
        <f>IF(K20="","",IFERROR(IF(AND(ROUND((VALUE(K20&amp;"")-INT(VALUE(K20&amp;"")))*100,0)&gt;=1,ROUND((VALUE(K20&amp;"")-INT(VALUE(K20&amp;"")))*100,0)&lt;=12,INT(VALUE(K20&amp;""))&gt;=1900),DATE(INT(VALUE(K20&amp;"")),ROUND((VALUE(K20&amp;"")-INT(VALUE(K20&amp;"")))*100,0),1),K20&amp;""),K20&amp;""))</f>
        <v/>
      </c>
      <c r="T20" s="10">
        <f>COUNTIF(M20:R20,"⚠*")</f>
        <v/>
      </c>
    </row>
    <row r="21"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M21" s="10">
        <f>IFERROR(IF(TRIM(E21&amp;"")="","",IF(AND(ISNUMBER(FIND(" ",TRIM(E21&amp;""))),ISNUMBER(MATCH(LEFT(TRIM(E21&amp;""),FIND(" ",TRIM(E21&amp;""))-1),코드표!$J$2:$J$101,0)),ISNUMBER(MATCH(TRIM(RIGHT(SUBSTITUTE(TRIM(E21&amp;"")," ",REPT(" ",60)),60)),코드표!$F$2:$F$101,0))),INDEX(코드표!$K$2:$K$101,MATCH(LEFT(TRIM(E21&amp;""),FIND(" ",TRIM(E21&amp;""))-1),코드표!$J$2:$J$101,0))&amp;" "&amp;INDEX(코드표!$G$2:$G$101,MATCH(TRIM(RIGHT(SUBSTITUTE(TRIM(E21&amp;"")," ",REPT(" ",60)),60)),코드표!$F$2:$F$101,0)),"⚠"&amp;TRIM(E21&amp;""))),"⚠"&amp;TRIM(E21&amp;""))</f>
        <v/>
      </c>
      <c r="N21" s="10">
        <f>IFERROR(IF(TRIM(F21&amp;"")="","",IF(AND(ISNUMBER(FIND(" ",TRIM(F21&amp;""))),ISNUMBER(MATCH(LEFT(TRIM(F21&amp;""),FIND(" ",TRIM(F21&amp;""))-1),코드표!$J$2:$J$101,0)),ISNUMBER(MATCH(TRIM(RIGHT(SUBSTITUTE(TRIM(F21&amp;"")," ",REPT(" ",60)),60)),코드표!$F$2:$F$101,0))),INDEX(코드표!$K$2:$K$101,MATCH(LEFT(TRIM(F21&amp;""),FIND(" ",TRIM(F21&amp;""))-1),코드표!$J$2:$J$101,0))&amp;" "&amp;INDEX(코드표!$G$2:$G$101,MATCH(TRIM(RIGHT(SUBSTITUTE(TRIM(F21&amp;"")," ",REPT(" ",60)),60)),코드표!$F$2:$F$101,0)),"⚠"&amp;TRIM(F21&amp;""))),"⚠"&amp;TRIM(F21&amp;""))</f>
        <v/>
      </c>
      <c r="O21" s="10">
        <f>IFERROR(IF(TRIM(G21&amp;"")="","",IF(AND(ISNUMBER(FIND(" ",TRIM(G21&amp;""))),ISNUMBER(MATCH(LEFT(TRIM(G21&amp;""),FIND(" ",TRIM(G21&amp;""))-1),코드표!$J$2:$J$101,0)),ISNUMBER(MATCH(TRIM(RIGHT(SUBSTITUTE(TRIM(G21&amp;"")," ",REPT(" ",60)),60)),코드표!$F$2:$F$101,0))),INDEX(코드표!$K$2:$K$101,MATCH(LEFT(TRIM(G21&amp;""),FIND(" ",TRIM(G21&amp;""))-1),코드표!$J$2:$J$101,0))&amp;" "&amp;INDEX(코드표!$G$2:$G$101,MATCH(TRIM(RIGHT(SUBSTITUTE(TRIM(G21&amp;"")," ",REPT(" ",60)),60)),코드표!$F$2:$F$101,0)),"⚠"&amp;TRIM(G21&amp;""))),"⚠"&amp;TRIM(G21&amp;""))</f>
        <v/>
      </c>
      <c r="P21" s="10">
        <f>IFERROR(IF(TRIM(H21&amp;"")="","",IF(AND(ISNUMBER(FIND(" ",TRIM(H21&amp;""))),ISNUMBER(MATCH(LEFT(TRIM(H21&amp;""),FIND(" ",TRIM(H21&amp;""))-1),코드표!$J$2:$J$101,0)),ISNUMBER(MATCH(TRIM(RIGHT(SUBSTITUTE(TRIM(H21&amp;"")," ",REPT(" ",60)),60)),코드표!$F$2:$F$101,0))),INDEX(코드표!$K$2:$K$101,MATCH(LEFT(TRIM(H21&amp;""),FIND(" ",TRIM(H21&amp;""))-1),코드표!$J$2:$J$101,0))&amp;" "&amp;INDEX(코드표!$G$2:$G$101,MATCH(TRIM(RIGHT(SUBSTITUTE(TRIM(H21&amp;"")," ",REPT(" ",60)),60)),코드표!$F$2:$F$101,0)),"⚠"&amp;TRIM(H21&amp;""))),"⚠"&amp;TRIM(H21&amp;""))</f>
        <v/>
      </c>
      <c r="Q21" s="10">
        <f>IFERROR(IF(TRIM(I21&amp;"")="","",IF(AND(ISNUMBER(FIND(" ",TRIM(I21&amp;""))),ISNUMBER(MATCH(LEFT(TRIM(I21&amp;""),FIND(" ",TRIM(I21&amp;""))-1),코드표!$J$2:$J$101,0)),ISNUMBER(MATCH(TRIM(RIGHT(SUBSTITUTE(TRIM(I21&amp;"")," ",REPT(" ",60)),60)),코드표!$F$2:$F$101,0))),INDEX(코드표!$K$2:$K$101,MATCH(LEFT(TRIM(I21&amp;""),FIND(" ",TRIM(I21&amp;""))-1),코드표!$J$2:$J$101,0))&amp;" "&amp;INDEX(코드표!$G$2:$G$101,MATCH(TRIM(RIGHT(SUBSTITUTE(TRIM(I21&amp;"")," ",REPT(" ",60)),60)),코드표!$F$2:$F$101,0)),"⚠"&amp;TRIM(I21&amp;""))),"⚠"&amp;TRIM(I21&amp;""))</f>
        <v/>
      </c>
      <c r="R21" s="10">
        <f>IFERROR(IF(TRIM(J21&amp;"")="","",IF(AND(ISNUMBER(FIND(" ",TRIM(J21&amp;""))),ISNUMBER(MATCH(LEFT(TRIM(J21&amp;""),FIND(" ",TRIM(J21&amp;""))-1),코드표!$J$2:$J$101,0)),ISNUMBER(MATCH(TRIM(RIGHT(SUBSTITUTE(TRIM(J21&amp;"")," ",REPT(" ",60)),60)),코드표!$F$2:$F$101,0))),INDEX(코드표!$K$2:$K$101,MATCH(LEFT(TRIM(J21&amp;""),FIND(" ",TRIM(J21&amp;""))-1),코드표!$J$2:$J$101,0))&amp;" "&amp;INDEX(코드표!$G$2:$G$101,MATCH(TRIM(RIGHT(SUBSTITUTE(TRIM(J21&amp;"")," ",REPT(" ",60)),60)),코드표!$F$2:$F$101,0)),"⚠"&amp;TRIM(J21&amp;""))),"⚠"&amp;TRIM(J21&amp;""))</f>
        <v/>
      </c>
      <c r="S21" s="11">
        <f>IF(K21="","",IFERROR(IF(AND(ROUND((VALUE(K21&amp;"")-INT(VALUE(K21&amp;"")))*100,0)&gt;=1,ROUND((VALUE(K21&amp;"")-INT(VALUE(K21&amp;"")))*100,0)&lt;=12,INT(VALUE(K21&amp;""))&gt;=1900),DATE(INT(VALUE(K21&amp;"")),ROUND((VALUE(K21&amp;"")-INT(VALUE(K21&amp;"")))*100,0),1),K21&amp;""),K21&amp;""))</f>
        <v/>
      </c>
      <c r="T21" s="10">
        <f>COUNTIF(M21:R21,"⚠*")</f>
        <v/>
      </c>
    </row>
    <row r="22"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M22" s="10">
        <f>IFERROR(IF(TRIM(E22&amp;"")="","",IF(AND(ISNUMBER(FIND(" ",TRIM(E22&amp;""))),ISNUMBER(MATCH(LEFT(TRIM(E22&amp;""),FIND(" ",TRIM(E22&amp;""))-1),코드표!$J$2:$J$101,0)),ISNUMBER(MATCH(TRIM(RIGHT(SUBSTITUTE(TRIM(E22&amp;"")," ",REPT(" ",60)),60)),코드표!$F$2:$F$101,0))),INDEX(코드표!$K$2:$K$101,MATCH(LEFT(TRIM(E22&amp;""),FIND(" ",TRIM(E22&amp;""))-1),코드표!$J$2:$J$101,0))&amp;" "&amp;INDEX(코드표!$G$2:$G$101,MATCH(TRIM(RIGHT(SUBSTITUTE(TRIM(E22&amp;"")," ",REPT(" ",60)),60)),코드표!$F$2:$F$101,0)),"⚠"&amp;TRIM(E22&amp;""))),"⚠"&amp;TRIM(E22&amp;""))</f>
        <v/>
      </c>
      <c r="N22" s="10">
        <f>IFERROR(IF(TRIM(F22&amp;"")="","",IF(AND(ISNUMBER(FIND(" ",TRIM(F22&amp;""))),ISNUMBER(MATCH(LEFT(TRIM(F22&amp;""),FIND(" ",TRIM(F22&amp;""))-1),코드표!$J$2:$J$101,0)),ISNUMBER(MATCH(TRIM(RIGHT(SUBSTITUTE(TRIM(F22&amp;"")," ",REPT(" ",60)),60)),코드표!$F$2:$F$101,0))),INDEX(코드표!$K$2:$K$101,MATCH(LEFT(TRIM(F22&amp;""),FIND(" ",TRIM(F22&amp;""))-1),코드표!$J$2:$J$101,0))&amp;" "&amp;INDEX(코드표!$G$2:$G$101,MATCH(TRIM(RIGHT(SUBSTITUTE(TRIM(F22&amp;"")," ",REPT(" ",60)),60)),코드표!$F$2:$F$101,0)),"⚠"&amp;TRIM(F22&amp;""))),"⚠"&amp;TRIM(F22&amp;""))</f>
        <v/>
      </c>
      <c r="O22" s="10">
        <f>IFERROR(IF(TRIM(G22&amp;"")="","",IF(AND(ISNUMBER(FIND(" ",TRIM(G22&amp;""))),ISNUMBER(MATCH(LEFT(TRIM(G22&amp;""),FIND(" ",TRIM(G22&amp;""))-1),코드표!$J$2:$J$101,0)),ISNUMBER(MATCH(TRIM(RIGHT(SUBSTITUTE(TRIM(G22&amp;"")," ",REPT(" ",60)),60)),코드표!$F$2:$F$101,0))),INDEX(코드표!$K$2:$K$101,MATCH(LEFT(TRIM(G22&amp;""),FIND(" ",TRIM(G22&amp;""))-1),코드표!$J$2:$J$101,0))&amp;" "&amp;INDEX(코드표!$G$2:$G$101,MATCH(TRIM(RIGHT(SUBSTITUTE(TRIM(G22&amp;"")," ",REPT(" ",60)),60)),코드표!$F$2:$F$101,0)),"⚠"&amp;TRIM(G22&amp;""))),"⚠"&amp;TRIM(G22&amp;""))</f>
        <v/>
      </c>
      <c r="P22" s="10">
        <f>IFERROR(IF(TRIM(H22&amp;"")="","",IF(AND(ISNUMBER(FIND(" ",TRIM(H22&amp;""))),ISNUMBER(MATCH(LEFT(TRIM(H22&amp;""),FIND(" ",TRIM(H22&amp;""))-1),코드표!$J$2:$J$101,0)),ISNUMBER(MATCH(TRIM(RIGHT(SUBSTITUTE(TRIM(H22&amp;"")," ",REPT(" ",60)),60)),코드표!$F$2:$F$101,0))),INDEX(코드표!$K$2:$K$101,MATCH(LEFT(TRIM(H22&amp;""),FIND(" ",TRIM(H22&amp;""))-1),코드표!$J$2:$J$101,0))&amp;" "&amp;INDEX(코드표!$G$2:$G$101,MATCH(TRIM(RIGHT(SUBSTITUTE(TRIM(H22&amp;"")," ",REPT(" ",60)),60)),코드표!$F$2:$F$101,0)),"⚠"&amp;TRIM(H22&amp;""))),"⚠"&amp;TRIM(H22&amp;""))</f>
        <v/>
      </c>
      <c r="Q22" s="10">
        <f>IFERROR(IF(TRIM(I22&amp;"")="","",IF(AND(ISNUMBER(FIND(" ",TRIM(I22&amp;""))),ISNUMBER(MATCH(LEFT(TRIM(I22&amp;""),FIND(" ",TRIM(I22&amp;""))-1),코드표!$J$2:$J$101,0)),ISNUMBER(MATCH(TRIM(RIGHT(SUBSTITUTE(TRIM(I22&amp;"")," ",REPT(" ",60)),60)),코드표!$F$2:$F$101,0))),INDEX(코드표!$K$2:$K$101,MATCH(LEFT(TRIM(I22&amp;""),FIND(" ",TRIM(I22&amp;""))-1),코드표!$J$2:$J$101,0))&amp;" "&amp;INDEX(코드표!$G$2:$G$101,MATCH(TRIM(RIGHT(SUBSTITUTE(TRIM(I22&amp;"")," ",REPT(" ",60)),60)),코드표!$F$2:$F$101,0)),"⚠"&amp;TRIM(I22&amp;""))),"⚠"&amp;TRIM(I22&amp;""))</f>
        <v/>
      </c>
      <c r="R22" s="10">
        <f>IFERROR(IF(TRIM(J22&amp;"")="","",IF(AND(ISNUMBER(FIND(" ",TRIM(J22&amp;""))),ISNUMBER(MATCH(LEFT(TRIM(J22&amp;""),FIND(" ",TRIM(J22&amp;""))-1),코드표!$J$2:$J$101,0)),ISNUMBER(MATCH(TRIM(RIGHT(SUBSTITUTE(TRIM(J22&amp;"")," ",REPT(" ",60)),60)),코드표!$F$2:$F$101,0))),INDEX(코드표!$K$2:$K$101,MATCH(LEFT(TRIM(J22&amp;""),FIND(" ",TRIM(J22&amp;""))-1),코드표!$J$2:$J$101,0))&amp;" "&amp;INDEX(코드표!$G$2:$G$101,MATCH(TRIM(RIGHT(SUBSTITUTE(TRIM(J22&amp;"")," ",REPT(" ",60)),60)),코드표!$F$2:$F$101,0)),"⚠"&amp;TRIM(J22&amp;""))),"⚠"&amp;TRIM(J22&amp;""))</f>
        <v/>
      </c>
      <c r="S22" s="11">
        <f>IF(K22="","",IFERROR(IF(AND(ROUND((VALUE(K22&amp;"")-INT(VALUE(K22&amp;"")))*100,0)&gt;=1,ROUND((VALUE(K22&amp;"")-INT(VALUE(K22&amp;"")))*100,0)&lt;=12,INT(VALUE(K22&amp;""))&gt;=1900),DATE(INT(VALUE(K22&amp;"")),ROUND((VALUE(K22&amp;"")-INT(VALUE(K22&amp;"")))*100,0),1),K22&amp;""),K22&amp;""))</f>
        <v/>
      </c>
      <c r="T22" s="10">
        <f>COUNTIF(M22:R22,"⚠*")</f>
        <v/>
      </c>
    </row>
    <row r="23"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M23" s="10">
        <f>IFERROR(IF(TRIM(E23&amp;"")="","",IF(AND(ISNUMBER(FIND(" ",TRIM(E23&amp;""))),ISNUMBER(MATCH(LEFT(TRIM(E23&amp;""),FIND(" ",TRIM(E23&amp;""))-1),코드표!$J$2:$J$101,0)),ISNUMBER(MATCH(TRIM(RIGHT(SUBSTITUTE(TRIM(E23&amp;"")," ",REPT(" ",60)),60)),코드표!$F$2:$F$101,0))),INDEX(코드표!$K$2:$K$101,MATCH(LEFT(TRIM(E23&amp;""),FIND(" ",TRIM(E23&amp;""))-1),코드표!$J$2:$J$101,0))&amp;" "&amp;INDEX(코드표!$G$2:$G$101,MATCH(TRIM(RIGHT(SUBSTITUTE(TRIM(E23&amp;"")," ",REPT(" ",60)),60)),코드표!$F$2:$F$101,0)),"⚠"&amp;TRIM(E23&amp;""))),"⚠"&amp;TRIM(E23&amp;""))</f>
        <v/>
      </c>
      <c r="N23" s="10">
        <f>IFERROR(IF(TRIM(F23&amp;"")="","",IF(AND(ISNUMBER(FIND(" ",TRIM(F23&amp;""))),ISNUMBER(MATCH(LEFT(TRIM(F23&amp;""),FIND(" ",TRIM(F23&amp;""))-1),코드표!$J$2:$J$101,0)),ISNUMBER(MATCH(TRIM(RIGHT(SUBSTITUTE(TRIM(F23&amp;"")," ",REPT(" ",60)),60)),코드표!$F$2:$F$101,0))),INDEX(코드표!$K$2:$K$101,MATCH(LEFT(TRIM(F23&amp;""),FIND(" ",TRIM(F23&amp;""))-1),코드표!$J$2:$J$101,0))&amp;" "&amp;INDEX(코드표!$G$2:$G$101,MATCH(TRIM(RIGHT(SUBSTITUTE(TRIM(F23&amp;"")," ",REPT(" ",60)),60)),코드표!$F$2:$F$101,0)),"⚠"&amp;TRIM(F23&amp;""))),"⚠"&amp;TRIM(F23&amp;""))</f>
        <v/>
      </c>
      <c r="O23" s="10">
        <f>IFERROR(IF(TRIM(G23&amp;"")="","",IF(AND(ISNUMBER(FIND(" ",TRIM(G23&amp;""))),ISNUMBER(MATCH(LEFT(TRIM(G23&amp;""),FIND(" ",TRIM(G23&amp;""))-1),코드표!$J$2:$J$101,0)),ISNUMBER(MATCH(TRIM(RIGHT(SUBSTITUTE(TRIM(G23&amp;"")," ",REPT(" ",60)),60)),코드표!$F$2:$F$101,0))),INDEX(코드표!$K$2:$K$101,MATCH(LEFT(TRIM(G23&amp;""),FIND(" ",TRIM(G23&amp;""))-1),코드표!$J$2:$J$101,0))&amp;" "&amp;INDEX(코드표!$G$2:$G$101,MATCH(TRIM(RIGHT(SUBSTITUTE(TRIM(G23&amp;"")," ",REPT(" ",60)),60)),코드표!$F$2:$F$101,0)),"⚠"&amp;TRIM(G23&amp;""))),"⚠"&amp;TRIM(G23&amp;""))</f>
        <v/>
      </c>
      <c r="P23" s="10">
        <f>IFERROR(IF(TRIM(H23&amp;"")="","",IF(AND(ISNUMBER(FIND(" ",TRIM(H23&amp;""))),ISNUMBER(MATCH(LEFT(TRIM(H23&amp;""),FIND(" ",TRIM(H23&amp;""))-1),코드표!$J$2:$J$101,0)),ISNUMBER(MATCH(TRIM(RIGHT(SUBSTITUTE(TRIM(H23&amp;"")," ",REPT(" ",60)),60)),코드표!$F$2:$F$101,0))),INDEX(코드표!$K$2:$K$101,MATCH(LEFT(TRIM(H23&amp;""),FIND(" ",TRIM(H23&amp;""))-1),코드표!$J$2:$J$101,0))&amp;" "&amp;INDEX(코드표!$G$2:$G$101,MATCH(TRIM(RIGHT(SUBSTITUTE(TRIM(H23&amp;"")," ",REPT(" ",60)),60)),코드표!$F$2:$F$101,0)),"⚠"&amp;TRIM(H23&amp;""))),"⚠"&amp;TRIM(H23&amp;""))</f>
        <v/>
      </c>
      <c r="Q23" s="10">
        <f>IFERROR(IF(TRIM(I23&amp;"")="","",IF(AND(ISNUMBER(FIND(" ",TRIM(I23&amp;""))),ISNUMBER(MATCH(LEFT(TRIM(I23&amp;""),FIND(" ",TRIM(I23&amp;""))-1),코드표!$J$2:$J$101,0)),ISNUMBER(MATCH(TRIM(RIGHT(SUBSTITUTE(TRIM(I23&amp;"")," ",REPT(" ",60)),60)),코드표!$F$2:$F$101,0))),INDEX(코드표!$K$2:$K$101,MATCH(LEFT(TRIM(I23&amp;""),FIND(" ",TRIM(I23&amp;""))-1),코드표!$J$2:$J$101,0))&amp;" "&amp;INDEX(코드표!$G$2:$G$101,MATCH(TRIM(RIGHT(SUBSTITUTE(TRIM(I23&amp;"")," ",REPT(" ",60)),60)),코드표!$F$2:$F$101,0)),"⚠"&amp;TRIM(I23&amp;""))),"⚠"&amp;TRIM(I23&amp;""))</f>
        <v/>
      </c>
      <c r="R23" s="10">
        <f>IFERROR(IF(TRIM(J23&amp;"")="","",IF(AND(ISNUMBER(FIND(" ",TRIM(J23&amp;""))),ISNUMBER(MATCH(LEFT(TRIM(J23&amp;""),FIND(" ",TRIM(J23&amp;""))-1),코드표!$J$2:$J$101,0)),ISNUMBER(MATCH(TRIM(RIGHT(SUBSTITUTE(TRIM(J23&amp;"")," ",REPT(" ",60)),60)),코드표!$F$2:$F$101,0))),INDEX(코드표!$K$2:$K$101,MATCH(LEFT(TRIM(J23&amp;""),FIND(" ",TRIM(J23&amp;""))-1),코드표!$J$2:$J$101,0))&amp;" "&amp;INDEX(코드표!$G$2:$G$101,MATCH(TRIM(RIGHT(SUBSTITUTE(TRIM(J23&amp;"")," ",REPT(" ",60)),60)),코드표!$F$2:$F$101,0)),"⚠"&amp;TRIM(J23&amp;""))),"⚠"&amp;TRIM(J23&amp;""))</f>
        <v/>
      </c>
      <c r="S23" s="11">
        <f>IF(K23="","",IFERROR(IF(AND(ROUND((VALUE(K23&amp;"")-INT(VALUE(K23&amp;"")))*100,0)&gt;=1,ROUND((VALUE(K23&amp;"")-INT(VALUE(K23&amp;"")))*100,0)&lt;=12,INT(VALUE(K23&amp;""))&gt;=1900),DATE(INT(VALUE(K23&amp;"")),ROUND((VALUE(K23&amp;"")-INT(VALUE(K23&amp;"")))*100,0),1),K23&amp;""),K23&amp;""))</f>
        <v/>
      </c>
      <c r="T23" s="10">
        <f>COUNTIF(M23:R23,"⚠*")</f>
        <v/>
      </c>
    </row>
    <row r="24"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M24" s="10">
        <f>IFERROR(IF(TRIM(E24&amp;"")="","",IF(AND(ISNUMBER(FIND(" ",TRIM(E24&amp;""))),ISNUMBER(MATCH(LEFT(TRIM(E24&amp;""),FIND(" ",TRIM(E24&amp;""))-1),코드표!$J$2:$J$101,0)),ISNUMBER(MATCH(TRIM(RIGHT(SUBSTITUTE(TRIM(E24&amp;"")," ",REPT(" ",60)),60)),코드표!$F$2:$F$101,0))),INDEX(코드표!$K$2:$K$101,MATCH(LEFT(TRIM(E24&amp;""),FIND(" ",TRIM(E24&amp;""))-1),코드표!$J$2:$J$101,0))&amp;" "&amp;INDEX(코드표!$G$2:$G$101,MATCH(TRIM(RIGHT(SUBSTITUTE(TRIM(E24&amp;"")," ",REPT(" ",60)),60)),코드표!$F$2:$F$101,0)),"⚠"&amp;TRIM(E24&amp;""))),"⚠"&amp;TRIM(E24&amp;""))</f>
        <v/>
      </c>
      <c r="N24" s="10">
        <f>IFERROR(IF(TRIM(F24&amp;"")="","",IF(AND(ISNUMBER(FIND(" ",TRIM(F24&amp;""))),ISNUMBER(MATCH(LEFT(TRIM(F24&amp;""),FIND(" ",TRIM(F24&amp;""))-1),코드표!$J$2:$J$101,0)),ISNUMBER(MATCH(TRIM(RIGHT(SUBSTITUTE(TRIM(F24&amp;"")," ",REPT(" ",60)),60)),코드표!$F$2:$F$101,0))),INDEX(코드표!$K$2:$K$101,MATCH(LEFT(TRIM(F24&amp;""),FIND(" ",TRIM(F24&amp;""))-1),코드표!$J$2:$J$101,0))&amp;" "&amp;INDEX(코드표!$G$2:$G$101,MATCH(TRIM(RIGHT(SUBSTITUTE(TRIM(F24&amp;"")," ",REPT(" ",60)),60)),코드표!$F$2:$F$101,0)),"⚠"&amp;TRIM(F24&amp;""))),"⚠"&amp;TRIM(F24&amp;""))</f>
        <v/>
      </c>
      <c r="O24" s="10">
        <f>IFERROR(IF(TRIM(G24&amp;"")="","",IF(AND(ISNUMBER(FIND(" ",TRIM(G24&amp;""))),ISNUMBER(MATCH(LEFT(TRIM(G24&amp;""),FIND(" ",TRIM(G24&amp;""))-1),코드표!$J$2:$J$101,0)),ISNUMBER(MATCH(TRIM(RIGHT(SUBSTITUTE(TRIM(G24&amp;"")," ",REPT(" ",60)),60)),코드표!$F$2:$F$101,0))),INDEX(코드표!$K$2:$K$101,MATCH(LEFT(TRIM(G24&amp;""),FIND(" ",TRIM(G24&amp;""))-1),코드표!$J$2:$J$101,0))&amp;" "&amp;INDEX(코드표!$G$2:$G$101,MATCH(TRIM(RIGHT(SUBSTITUTE(TRIM(G24&amp;"")," ",REPT(" ",60)),60)),코드표!$F$2:$F$101,0)),"⚠"&amp;TRIM(G24&amp;""))),"⚠"&amp;TRIM(G24&amp;""))</f>
        <v/>
      </c>
      <c r="P24" s="10">
        <f>IFERROR(IF(TRIM(H24&amp;"")="","",IF(AND(ISNUMBER(FIND(" ",TRIM(H24&amp;""))),ISNUMBER(MATCH(LEFT(TRIM(H24&amp;""),FIND(" ",TRIM(H24&amp;""))-1),코드표!$J$2:$J$101,0)),ISNUMBER(MATCH(TRIM(RIGHT(SUBSTITUTE(TRIM(H24&amp;"")," ",REPT(" ",60)),60)),코드표!$F$2:$F$101,0))),INDEX(코드표!$K$2:$K$101,MATCH(LEFT(TRIM(H24&amp;""),FIND(" ",TRIM(H24&amp;""))-1),코드표!$J$2:$J$101,0))&amp;" "&amp;INDEX(코드표!$G$2:$G$101,MATCH(TRIM(RIGHT(SUBSTITUTE(TRIM(H24&amp;"")," ",REPT(" ",60)),60)),코드표!$F$2:$F$101,0)),"⚠"&amp;TRIM(H24&amp;""))),"⚠"&amp;TRIM(H24&amp;""))</f>
        <v/>
      </c>
      <c r="Q24" s="10">
        <f>IFERROR(IF(TRIM(I24&amp;"")="","",IF(AND(ISNUMBER(FIND(" ",TRIM(I24&amp;""))),ISNUMBER(MATCH(LEFT(TRIM(I24&amp;""),FIND(" ",TRIM(I24&amp;""))-1),코드표!$J$2:$J$101,0)),ISNUMBER(MATCH(TRIM(RIGHT(SUBSTITUTE(TRIM(I24&amp;"")," ",REPT(" ",60)),60)),코드표!$F$2:$F$101,0))),INDEX(코드표!$K$2:$K$101,MATCH(LEFT(TRIM(I24&amp;""),FIND(" ",TRIM(I24&amp;""))-1),코드표!$J$2:$J$101,0))&amp;" "&amp;INDEX(코드표!$G$2:$G$101,MATCH(TRIM(RIGHT(SUBSTITUTE(TRIM(I24&amp;"")," ",REPT(" ",60)),60)),코드표!$F$2:$F$101,0)),"⚠"&amp;TRIM(I24&amp;""))),"⚠"&amp;TRIM(I24&amp;""))</f>
        <v/>
      </c>
      <c r="R24" s="10">
        <f>IFERROR(IF(TRIM(J24&amp;"")="","",IF(AND(ISNUMBER(FIND(" ",TRIM(J24&amp;""))),ISNUMBER(MATCH(LEFT(TRIM(J24&amp;""),FIND(" ",TRIM(J24&amp;""))-1),코드표!$J$2:$J$101,0)),ISNUMBER(MATCH(TRIM(RIGHT(SUBSTITUTE(TRIM(J24&amp;"")," ",REPT(" ",60)),60)),코드표!$F$2:$F$101,0))),INDEX(코드표!$K$2:$K$101,MATCH(LEFT(TRIM(J24&amp;""),FIND(" ",TRIM(J24&amp;""))-1),코드표!$J$2:$J$101,0))&amp;" "&amp;INDEX(코드표!$G$2:$G$101,MATCH(TRIM(RIGHT(SUBSTITUTE(TRIM(J24&amp;"")," ",REPT(" ",60)),60)),코드표!$F$2:$F$101,0)),"⚠"&amp;TRIM(J24&amp;""))),"⚠"&amp;TRIM(J24&amp;""))</f>
        <v/>
      </c>
      <c r="S24" s="11">
        <f>IF(K24="","",IFERROR(IF(AND(ROUND((VALUE(K24&amp;"")-INT(VALUE(K24&amp;"")))*100,0)&gt;=1,ROUND((VALUE(K24&amp;"")-INT(VALUE(K24&amp;"")))*100,0)&lt;=12,INT(VALUE(K24&amp;""))&gt;=1900),DATE(INT(VALUE(K24&amp;"")),ROUND((VALUE(K24&amp;"")-INT(VALUE(K24&amp;"")))*100,0),1),K24&amp;""),K24&amp;""))</f>
        <v/>
      </c>
      <c r="T24" s="10">
        <f>COUNTIF(M24:R24,"⚠*")</f>
        <v/>
      </c>
    </row>
    <row r="25"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M25" s="10">
        <f>IFERROR(IF(TRIM(E25&amp;"")="","",IF(AND(ISNUMBER(FIND(" ",TRIM(E25&amp;""))),ISNUMBER(MATCH(LEFT(TRIM(E25&amp;""),FIND(" ",TRIM(E25&amp;""))-1),코드표!$J$2:$J$101,0)),ISNUMBER(MATCH(TRIM(RIGHT(SUBSTITUTE(TRIM(E25&amp;"")," ",REPT(" ",60)),60)),코드표!$F$2:$F$101,0))),INDEX(코드표!$K$2:$K$101,MATCH(LEFT(TRIM(E25&amp;""),FIND(" ",TRIM(E25&amp;""))-1),코드표!$J$2:$J$101,0))&amp;" "&amp;INDEX(코드표!$G$2:$G$101,MATCH(TRIM(RIGHT(SUBSTITUTE(TRIM(E25&amp;"")," ",REPT(" ",60)),60)),코드표!$F$2:$F$101,0)),"⚠"&amp;TRIM(E25&amp;""))),"⚠"&amp;TRIM(E25&amp;""))</f>
        <v/>
      </c>
      <c r="N25" s="10">
        <f>IFERROR(IF(TRIM(F25&amp;"")="","",IF(AND(ISNUMBER(FIND(" ",TRIM(F25&amp;""))),ISNUMBER(MATCH(LEFT(TRIM(F25&amp;""),FIND(" ",TRIM(F25&amp;""))-1),코드표!$J$2:$J$101,0)),ISNUMBER(MATCH(TRIM(RIGHT(SUBSTITUTE(TRIM(F25&amp;"")," ",REPT(" ",60)),60)),코드표!$F$2:$F$101,0))),INDEX(코드표!$K$2:$K$101,MATCH(LEFT(TRIM(F25&amp;""),FIND(" ",TRIM(F25&amp;""))-1),코드표!$J$2:$J$101,0))&amp;" "&amp;INDEX(코드표!$G$2:$G$101,MATCH(TRIM(RIGHT(SUBSTITUTE(TRIM(F25&amp;"")," ",REPT(" ",60)),60)),코드표!$F$2:$F$101,0)),"⚠"&amp;TRIM(F25&amp;""))),"⚠"&amp;TRIM(F25&amp;""))</f>
        <v/>
      </c>
      <c r="O25" s="10">
        <f>IFERROR(IF(TRIM(G25&amp;"")="","",IF(AND(ISNUMBER(FIND(" ",TRIM(G25&amp;""))),ISNUMBER(MATCH(LEFT(TRIM(G25&amp;""),FIND(" ",TRIM(G25&amp;""))-1),코드표!$J$2:$J$101,0)),ISNUMBER(MATCH(TRIM(RIGHT(SUBSTITUTE(TRIM(G25&amp;"")," ",REPT(" ",60)),60)),코드표!$F$2:$F$101,0))),INDEX(코드표!$K$2:$K$101,MATCH(LEFT(TRIM(G25&amp;""),FIND(" ",TRIM(G25&amp;""))-1),코드표!$J$2:$J$101,0))&amp;" "&amp;INDEX(코드표!$G$2:$G$101,MATCH(TRIM(RIGHT(SUBSTITUTE(TRIM(G25&amp;"")," ",REPT(" ",60)),60)),코드표!$F$2:$F$101,0)),"⚠"&amp;TRIM(G25&amp;""))),"⚠"&amp;TRIM(G25&amp;""))</f>
        <v/>
      </c>
      <c r="P25" s="10">
        <f>IFERROR(IF(TRIM(H25&amp;"")="","",IF(AND(ISNUMBER(FIND(" ",TRIM(H25&amp;""))),ISNUMBER(MATCH(LEFT(TRIM(H25&amp;""),FIND(" ",TRIM(H25&amp;""))-1),코드표!$J$2:$J$101,0)),ISNUMBER(MATCH(TRIM(RIGHT(SUBSTITUTE(TRIM(H25&amp;"")," ",REPT(" ",60)),60)),코드표!$F$2:$F$101,0))),INDEX(코드표!$K$2:$K$101,MATCH(LEFT(TRIM(H25&amp;""),FIND(" ",TRIM(H25&amp;""))-1),코드표!$J$2:$J$101,0))&amp;" "&amp;INDEX(코드표!$G$2:$G$101,MATCH(TRIM(RIGHT(SUBSTITUTE(TRIM(H25&amp;"")," ",REPT(" ",60)),60)),코드표!$F$2:$F$101,0)),"⚠"&amp;TRIM(H25&amp;""))),"⚠"&amp;TRIM(H25&amp;""))</f>
        <v/>
      </c>
      <c r="Q25" s="10">
        <f>IFERROR(IF(TRIM(I25&amp;"")="","",IF(AND(ISNUMBER(FIND(" ",TRIM(I25&amp;""))),ISNUMBER(MATCH(LEFT(TRIM(I25&amp;""),FIND(" ",TRIM(I25&amp;""))-1),코드표!$J$2:$J$101,0)),ISNUMBER(MATCH(TRIM(RIGHT(SUBSTITUTE(TRIM(I25&amp;"")," ",REPT(" ",60)),60)),코드표!$F$2:$F$101,0))),INDEX(코드표!$K$2:$K$101,MATCH(LEFT(TRIM(I25&amp;""),FIND(" ",TRIM(I25&amp;""))-1),코드표!$J$2:$J$101,0))&amp;" "&amp;INDEX(코드표!$G$2:$G$101,MATCH(TRIM(RIGHT(SUBSTITUTE(TRIM(I25&amp;"")," ",REPT(" ",60)),60)),코드표!$F$2:$F$101,0)),"⚠"&amp;TRIM(I25&amp;""))),"⚠"&amp;TRIM(I25&amp;""))</f>
        <v/>
      </c>
      <c r="R25" s="10">
        <f>IFERROR(IF(TRIM(J25&amp;"")="","",IF(AND(ISNUMBER(FIND(" ",TRIM(J25&amp;""))),ISNUMBER(MATCH(LEFT(TRIM(J25&amp;""),FIND(" ",TRIM(J25&amp;""))-1),코드표!$J$2:$J$101,0)),ISNUMBER(MATCH(TRIM(RIGHT(SUBSTITUTE(TRIM(J25&amp;"")," ",REPT(" ",60)),60)),코드표!$F$2:$F$101,0))),INDEX(코드표!$K$2:$K$101,MATCH(LEFT(TRIM(J25&amp;""),FIND(" ",TRIM(J25&amp;""))-1),코드표!$J$2:$J$101,0))&amp;" "&amp;INDEX(코드표!$G$2:$G$101,MATCH(TRIM(RIGHT(SUBSTITUTE(TRIM(J25&amp;"")," ",REPT(" ",60)),60)),코드표!$F$2:$F$101,0)),"⚠"&amp;TRIM(J25&amp;""))),"⚠"&amp;TRIM(J25&amp;""))</f>
        <v/>
      </c>
      <c r="S25" s="11">
        <f>IF(K25="","",IFERROR(IF(AND(ROUND((VALUE(K25&amp;"")-INT(VALUE(K25&amp;"")))*100,0)&gt;=1,ROUND((VALUE(K25&amp;"")-INT(VALUE(K25&amp;"")))*100,0)&lt;=12,INT(VALUE(K25&amp;""))&gt;=1900),DATE(INT(VALUE(K25&amp;"")),ROUND((VALUE(K25&amp;"")-INT(VALUE(K25&amp;"")))*100,0),1),K25&amp;""),K25&amp;""))</f>
        <v/>
      </c>
      <c r="T25" s="10">
        <f>COUNTIF(M25:R25,"⚠*")</f>
        <v/>
      </c>
    </row>
    <row r="26"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M26" s="10">
        <f>IFERROR(IF(TRIM(E26&amp;"")="","",IF(AND(ISNUMBER(FIND(" ",TRIM(E26&amp;""))),ISNUMBER(MATCH(LEFT(TRIM(E26&amp;""),FIND(" ",TRIM(E26&amp;""))-1),코드표!$J$2:$J$101,0)),ISNUMBER(MATCH(TRIM(RIGHT(SUBSTITUTE(TRIM(E26&amp;"")," ",REPT(" ",60)),60)),코드표!$F$2:$F$101,0))),INDEX(코드표!$K$2:$K$101,MATCH(LEFT(TRIM(E26&amp;""),FIND(" ",TRIM(E26&amp;""))-1),코드표!$J$2:$J$101,0))&amp;" "&amp;INDEX(코드표!$G$2:$G$101,MATCH(TRIM(RIGHT(SUBSTITUTE(TRIM(E26&amp;"")," ",REPT(" ",60)),60)),코드표!$F$2:$F$101,0)),"⚠"&amp;TRIM(E26&amp;""))),"⚠"&amp;TRIM(E26&amp;""))</f>
        <v/>
      </c>
      <c r="N26" s="10">
        <f>IFERROR(IF(TRIM(F26&amp;"")="","",IF(AND(ISNUMBER(FIND(" ",TRIM(F26&amp;""))),ISNUMBER(MATCH(LEFT(TRIM(F26&amp;""),FIND(" ",TRIM(F26&amp;""))-1),코드표!$J$2:$J$101,0)),ISNUMBER(MATCH(TRIM(RIGHT(SUBSTITUTE(TRIM(F26&amp;"")," ",REPT(" ",60)),60)),코드표!$F$2:$F$101,0))),INDEX(코드표!$K$2:$K$101,MATCH(LEFT(TRIM(F26&amp;""),FIND(" ",TRIM(F26&amp;""))-1),코드표!$J$2:$J$101,0))&amp;" "&amp;INDEX(코드표!$G$2:$G$101,MATCH(TRIM(RIGHT(SUBSTITUTE(TRIM(F26&amp;"")," ",REPT(" ",60)),60)),코드표!$F$2:$F$101,0)),"⚠"&amp;TRIM(F26&amp;""))),"⚠"&amp;TRIM(F26&amp;""))</f>
        <v/>
      </c>
      <c r="O26" s="10">
        <f>IFERROR(IF(TRIM(G26&amp;"")="","",IF(AND(ISNUMBER(FIND(" ",TRIM(G26&amp;""))),ISNUMBER(MATCH(LEFT(TRIM(G26&amp;""),FIND(" ",TRIM(G26&amp;""))-1),코드표!$J$2:$J$101,0)),ISNUMBER(MATCH(TRIM(RIGHT(SUBSTITUTE(TRIM(G26&amp;"")," ",REPT(" ",60)),60)),코드표!$F$2:$F$101,0))),INDEX(코드표!$K$2:$K$101,MATCH(LEFT(TRIM(G26&amp;""),FIND(" ",TRIM(G26&amp;""))-1),코드표!$J$2:$J$101,0))&amp;" "&amp;INDEX(코드표!$G$2:$G$101,MATCH(TRIM(RIGHT(SUBSTITUTE(TRIM(G26&amp;"")," ",REPT(" ",60)),60)),코드표!$F$2:$F$101,0)),"⚠"&amp;TRIM(G26&amp;""))),"⚠"&amp;TRIM(G26&amp;""))</f>
        <v/>
      </c>
      <c r="P26" s="10">
        <f>IFERROR(IF(TRIM(H26&amp;"")="","",IF(AND(ISNUMBER(FIND(" ",TRIM(H26&amp;""))),ISNUMBER(MATCH(LEFT(TRIM(H26&amp;""),FIND(" ",TRIM(H26&amp;""))-1),코드표!$J$2:$J$101,0)),ISNUMBER(MATCH(TRIM(RIGHT(SUBSTITUTE(TRIM(H26&amp;"")," ",REPT(" ",60)),60)),코드표!$F$2:$F$101,0))),INDEX(코드표!$K$2:$K$101,MATCH(LEFT(TRIM(H26&amp;""),FIND(" ",TRIM(H26&amp;""))-1),코드표!$J$2:$J$101,0))&amp;" "&amp;INDEX(코드표!$G$2:$G$101,MATCH(TRIM(RIGHT(SUBSTITUTE(TRIM(H26&amp;"")," ",REPT(" ",60)),60)),코드표!$F$2:$F$101,0)),"⚠"&amp;TRIM(H26&amp;""))),"⚠"&amp;TRIM(H26&amp;""))</f>
        <v/>
      </c>
      <c r="Q26" s="10">
        <f>IFERROR(IF(TRIM(I26&amp;"")="","",IF(AND(ISNUMBER(FIND(" ",TRIM(I26&amp;""))),ISNUMBER(MATCH(LEFT(TRIM(I26&amp;""),FIND(" ",TRIM(I26&amp;""))-1),코드표!$J$2:$J$101,0)),ISNUMBER(MATCH(TRIM(RIGHT(SUBSTITUTE(TRIM(I26&amp;"")," ",REPT(" ",60)),60)),코드표!$F$2:$F$101,0))),INDEX(코드표!$K$2:$K$101,MATCH(LEFT(TRIM(I26&amp;""),FIND(" ",TRIM(I26&amp;""))-1),코드표!$J$2:$J$101,0))&amp;" "&amp;INDEX(코드표!$G$2:$G$101,MATCH(TRIM(RIGHT(SUBSTITUTE(TRIM(I26&amp;"")," ",REPT(" ",60)),60)),코드표!$F$2:$F$101,0)),"⚠"&amp;TRIM(I26&amp;""))),"⚠"&amp;TRIM(I26&amp;""))</f>
        <v/>
      </c>
      <c r="R26" s="10">
        <f>IFERROR(IF(TRIM(J26&amp;"")="","",IF(AND(ISNUMBER(FIND(" ",TRIM(J26&amp;""))),ISNUMBER(MATCH(LEFT(TRIM(J26&amp;""),FIND(" ",TRIM(J26&amp;""))-1),코드표!$J$2:$J$101,0)),ISNUMBER(MATCH(TRIM(RIGHT(SUBSTITUTE(TRIM(J26&amp;"")," ",REPT(" ",60)),60)),코드표!$F$2:$F$101,0))),INDEX(코드표!$K$2:$K$101,MATCH(LEFT(TRIM(J26&amp;""),FIND(" ",TRIM(J26&amp;""))-1),코드표!$J$2:$J$101,0))&amp;" "&amp;INDEX(코드표!$G$2:$G$101,MATCH(TRIM(RIGHT(SUBSTITUTE(TRIM(J26&amp;"")," ",REPT(" ",60)),60)),코드표!$F$2:$F$101,0)),"⚠"&amp;TRIM(J26&amp;""))),"⚠"&amp;TRIM(J26&amp;""))</f>
        <v/>
      </c>
      <c r="S26" s="11">
        <f>IF(K26="","",IFERROR(IF(AND(ROUND((VALUE(K26&amp;"")-INT(VALUE(K26&amp;"")))*100,0)&gt;=1,ROUND((VALUE(K26&amp;"")-INT(VALUE(K26&amp;"")))*100,0)&lt;=12,INT(VALUE(K26&amp;""))&gt;=1900),DATE(INT(VALUE(K26&amp;"")),ROUND((VALUE(K26&amp;"")-INT(VALUE(K26&amp;"")))*100,0),1),K26&amp;""),K26&amp;""))</f>
        <v/>
      </c>
      <c r="T26" s="10">
        <f>COUNTIF(M26:R26,"⚠*")</f>
        <v/>
      </c>
    </row>
    <row r="27"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M27" s="10">
        <f>IFERROR(IF(TRIM(E27&amp;"")="","",IF(AND(ISNUMBER(FIND(" ",TRIM(E27&amp;""))),ISNUMBER(MATCH(LEFT(TRIM(E27&amp;""),FIND(" ",TRIM(E27&amp;""))-1),코드표!$J$2:$J$101,0)),ISNUMBER(MATCH(TRIM(RIGHT(SUBSTITUTE(TRIM(E27&amp;"")," ",REPT(" ",60)),60)),코드표!$F$2:$F$101,0))),INDEX(코드표!$K$2:$K$101,MATCH(LEFT(TRIM(E27&amp;""),FIND(" ",TRIM(E27&amp;""))-1),코드표!$J$2:$J$101,0))&amp;" "&amp;INDEX(코드표!$G$2:$G$101,MATCH(TRIM(RIGHT(SUBSTITUTE(TRIM(E27&amp;"")," ",REPT(" ",60)),60)),코드표!$F$2:$F$101,0)),"⚠"&amp;TRIM(E27&amp;""))),"⚠"&amp;TRIM(E27&amp;""))</f>
        <v/>
      </c>
      <c r="N27" s="10">
        <f>IFERROR(IF(TRIM(F27&amp;"")="","",IF(AND(ISNUMBER(FIND(" ",TRIM(F27&amp;""))),ISNUMBER(MATCH(LEFT(TRIM(F27&amp;""),FIND(" ",TRIM(F27&amp;""))-1),코드표!$J$2:$J$101,0)),ISNUMBER(MATCH(TRIM(RIGHT(SUBSTITUTE(TRIM(F27&amp;"")," ",REPT(" ",60)),60)),코드표!$F$2:$F$101,0))),INDEX(코드표!$K$2:$K$101,MATCH(LEFT(TRIM(F27&amp;""),FIND(" ",TRIM(F27&amp;""))-1),코드표!$J$2:$J$101,0))&amp;" "&amp;INDEX(코드표!$G$2:$G$101,MATCH(TRIM(RIGHT(SUBSTITUTE(TRIM(F27&amp;"")," ",REPT(" ",60)),60)),코드표!$F$2:$F$101,0)),"⚠"&amp;TRIM(F27&amp;""))),"⚠"&amp;TRIM(F27&amp;""))</f>
        <v/>
      </c>
      <c r="O27" s="10">
        <f>IFERROR(IF(TRIM(G27&amp;"")="","",IF(AND(ISNUMBER(FIND(" ",TRIM(G27&amp;""))),ISNUMBER(MATCH(LEFT(TRIM(G27&amp;""),FIND(" ",TRIM(G27&amp;""))-1),코드표!$J$2:$J$101,0)),ISNUMBER(MATCH(TRIM(RIGHT(SUBSTITUTE(TRIM(G27&amp;"")," ",REPT(" ",60)),60)),코드표!$F$2:$F$101,0))),INDEX(코드표!$K$2:$K$101,MATCH(LEFT(TRIM(G27&amp;""),FIND(" ",TRIM(G27&amp;""))-1),코드표!$J$2:$J$101,0))&amp;" "&amp;INDEX(코드표!$G$2:$G$101,MATCH(TRIM(RIGHT(SUBSTITUTE(TRIM(G27&amp;"")," ",REPT(" ",60)),60)),코드표!$F$2:$F$101,0)),"⚠"&amp;TRIM(G27&amp;""))),"⚠"&amp;TRIM(G27&amp;""))</f>
        <v/>
      </c>
      <c r="P27" s="10">
        <f>IFERROR(IF(TRIM(H27&amp;"")="","",IF(AND(ISNUMBER(FIND(" ",TRIM(H27&amp;""))),ISNUMBER(MATCH(LEFT(TRIM(H27&amp;""),FIND(" ",TRIM(H27&amp;""))-1),코드표!$J$2:$J$101,0)),ISNUMBER(MATCH(TRIM(RIGHT(SUBSTITUTE(TRIM(H27&amp;"")," ",REPT(" ",60)),60)),코드표!$F$2:$F$101,0))),INDEX(코드표!$K$2:$K$101,MATCH(LEFT(TRIM(H27&amp;""),FIND(" ",TRIM(H27&amp;""))-1),코드표!$J$2:$J$101,0))&amp;" "&amp;INDEX(코드표!$G$2:$G$101,MATCH(TRIM(RIGHT(SUBSTITUTE(TRIM(H27&amp;"")," ",REPT(" ",60)),60)),코드표!$F$2:$F$101,0)),"⚠"&amp;TRIM(H27&amp;""))),"⚠"&amp;TRIM(H27&amp;""))</f>
        <v/>
      </c>
      <c r="Q27" s="10">
        <f>IFERROR(IF(TRIM(I27&amp;"")="","",IF(AND(ISNUMBER(FIND(" ",TRIM(I27&amp;""))),ISNUMBER(MATCH(LEFT(TRIM(I27&amp;""),FIND(" ",TRIM(I27&amp;""))-1),코드표!$J$2:$J$101,0)),ISNUMBER(MATCH(TRIM(RIGHT(SUBSTITUTE(TRIM(I27&amp;"")," ",REPT(" ",60)),60)),코드표!$F$2:$F$101,0))),INDEX(코드표!$K$2:$K$101,MATCH(LEFT(TRIM(I27&amp;""),FIND(" ",TRIM(I27&amp;""))-1),코드표!$J$2:$J$101,0))&amp;" "&amp;INDEX(코드표!$G$2:$G$101,MATCH(TRIM(RIGHT(SUBSTITUTE(TRIM(I27&amp;"")," ",REPT(" ",60)),60)),코드표!$F$2:$F$101,0)),"⚠"&amp;TRIM(I27&amp;""))),"⚠"&amp;TRIM(I27&amp;""))</f>
        <v/>
      </c>
      <c r="R27" s="10">
        <f>IFERROR(IF(TRIM(J27&amp;"")="","",IF(AND(ISNUMBER(FIND(" ",TRIM(J27&amp;""))),ISNUMBER(MATCH(LEFT(TRIM(J27&amp;""),FIND(" ",TRIM(J27&amp;""))-1),코드표!$J$2:$J$101,0)),ISNUMBER(MATCH(TRIM(RIGHT(SUBSTITUTE(TRIM(J27&amp;"")," ",REPT(" ",60)),60)),코드표!$F$2:$F$101,0))),INDEX(코드표!$K$2:$K$101,MATCH(LEFT(TRIM(J27&amp;""),FIND(" ",TRIM(J27&amp;""))-1),코드표!$J$2:$J$101,0))&amp;" "&amp;INDEX(코드표!$G$2:$G$101,MATCH(TRIM(RIGHT(SUBSTITUTE(TRIM(J27&amp;"")," ",REPT(" ",60)),60)),코드표!$F$2:$F$101,0)),"⚠"&amp;TRIM(J27&amp;""))),"⚠"&amp;TRIM(J27&amp;""))</f>
        <v/>
      </c>
      <c r="S27" s="11">
        <f>IF(K27="","",IFERROR(IF(AND(ROUND((VALUE(K27&amp;"")-INT(VALUE(K27&amp;"")))*100,0)&gt;=1,ROUND((VALUE(K27&amp;"")-INT(VALUE(K27&amp;"")))*100,0)&lt;=12,INT(VALUE(K27&amp;""))&gt;=1900),DATE(INT(VALUE(K27&amp;"")),ROUND((VALUE(K27&amp;"")-INT(VALUE(K27&amp;"")))*100,0),1),K27&amp;""),K27&amp;""))</f>
        <v/>
      </c>
      <c r="T27" s="10">
        <f>COUNTIF(M27:R27,"⚠*")</f>
        <v/>
      </c>
    </row>
    <row r="28"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M28" s="10">
        <f>IFERROR(IF(TRIM(E28&amp;"")="","",IF(AND(ISNUMBER(FIND(" ",TRIM(E28&amp;""))),ISNUMBER(MATCH(LEFT(TRIM(E28&amp;""),FIND(" ",TRIM(E28&amp;""))-1),코드표!$J$2:$J$101,0)),ISNUMBER(MATCH(TRIM(RIGHT(SUBSTITUTE(TRIM(E28&amp;"")," ",REPT(" ",60)),60)),코드표!$F$2:$F$101,0))),INDEX(코드표!$K$2:$K$101,MATCH(LEFT(TRIM(E28&amp;""),FIND(" ",TRIM(E28&amp;""))-1),코드표!$J$2:$J$101,0))&amp;" "&amp;INDEX(코드표!$G$2:$G$101,MATCH(TRIM(RIGHT(SUBSTITUTE(TRIM(E28&amp;"")," ",REPT(" ",60)),60)),코드표!$F$2:$F$101,0)),"⚠"&amp;TRIM(E28&amp;""))),"⚠"&amp;TRIM(E28&amp;""))</f>
        <v/>
      </c>
      <c r="N28" s="10">
        <f>IFERROR(IF(TRIM(F28&amp;"")="","",IF(AND(ISNUMBER(FIND(" ",TRIM(F28&amp;""))),ISNUMBER(MATCH(LEFT(TRIM(F28&amp;""),FIND(" ",TRIM(F28&amp;""))-1),코드표!$J$2:$J$101,0)),ISNUMBER(MATCH(TRIM(RIGHT(SUBSTITUTE(TRIM(F28&amp;"")," ",REPT(" ",60)),60)),코드표!$F$2:$F$101,0))),INDEX(코드표!$K$2:$K$101,MATCH(LEFT(TRIM(F28&amp;""),FIND(" ",TRIM(F28&amp;""))-1),코드표!$J$2:$J$101,0))&amp;" "&amp;INDEX(코드표!$G$2:$G$101,MATCH(TRIM(RIGHT(SUBSTITUTE(TRIM(F28&amp;"")," ",REPT(" ",60)),60)),코드표!$F$2:$F$101,0)),"⚠"&amp;TRIM(F28&amp;""))),"⚠"&amp;TRIM(F28&amp;""))</f>
        <v/>
      </c>
      <c r="O28" s="10">
        <f>IFERROR(IF(TRIM(G28&amp;"")="","",IF(AND(ISNUMBER(FIND(" ",TRIM(G28&amp;""))),ISNUMBER(MATCH(LEFT(TRIM(G28&amp;""),FIND(" ",TRIM(G28&amp;""))-1),코드표!$J$2:$J$101,0)),ISNUMBER(MATCH(TRIM(RIGHT(SUBSTITUTE(TRIM(G28&amp;"")," ",REPT(" ",60)),60)),코드표!$F$2:$F$101,0))),INDEX(코드표!$K$2:$K$101,MATCH(LEFT(TRIM(G28&amp;""),FIND(" ",TRIM(G28&amp;""))-1),코드표!$J$2:$J$101,0))&amp;" "&amp;INDEX(코드표!$G$2:$G$101,MATCH(TRIM(RIGHT(SUBSTITUTE(TRIM(G28&amp;"")," ",REPT(" ",60)),60)),코드표!$F$2:$F$101,0)),"⚠"&amp;TRIM(G28&amp;""))),"⚠"&amp;TRIM(G28&amp;""))</f>
        <v/>
      </c>
      <c r="P28" s="10">
        <f>IFERROR(IF(TRIM(H28&amp;"")="","",IF(AND(ISNUMBER(FIND(" ",TRIM(H28&amp;""))),ISNUMBER(MATCH(LEFT(TRIM(H28&amp;""),FIND(" ",TRIM(H28&amp;""))-1),코드표!$J$2:$J$101,0)),ISNUMBER(MATCH(TRIM(RIGHT(SUBSTITUTE(TRIM(H28&amp;"")," ",REPT(" ",60)),60)),코드표!$F$2:$F$101,0))),INDEX(코드표!$K$2:$K$101,MATCH(LEFT(TRIM(H28&amp;""),FIND(" ",TRIM(H28&amp;""))-1),코드표!$J$2:$J$101,0))&amp;" "&amp;INDEX(코드표!$G$2:$G$101,MATCH(TRIM(RIGHT(SUBSTITUTE(TRIM(H28&amp;"")," ",REPT(" ",60)),60)),코드표!$F$2:$F$101,0)),"⚠"&amp;TRIM(H28&amp;""))),"⚠"&amp;TRIM(H28&amp;""))</f>
        <v/>
      </c>
      <c r="Q28" s="10">
        <f>IFERROR(IF(TRIM(I28&amp;"")="","",IF(AND(ISNUMBER(FIND(" ",TRIM(I28&amp;""))),ISNUMBER(MATCH(LEFT(TRIM(I28&amp;""),FIND(" ",TRIM(I28&amp;""))-1),코드표!$J$2:$J$101,0)),ISNUMBER(MATCH(TRIM(RIGHT(SUBSTITUTE(TRIM(I28&amp;"")," ",REPT(" ",60)),60)),코드표!$F$2:$F$101,0))),INDEX(코드표!$K$2:$K$101,MATCH(LEFT(TRIM(I28&amp;""),FIND(" ",TRIM(I28&amp;""))-1),코드표!$J$2:$J$101,0))&amp;" "&amp;INDEX(코드표!$G$2:$G$101,MATCH(TRIM(RIGHT(SUBSTITUTE(TRIM(I28&amp;"")," ",REPT(" ",60)),60)),코드표!$F$2:$F$101,0)),"⚠"&amp;TRIM(I28&amp;""))),"⚠"&amp;TRIM(I28&amp;""))</f>
        <v/>
      </c>
      <c r="R28" s="10">
        <f>IFERROR(IF(TRIM(J28&amp;"")="","",IF(AND(ISNUMBER(FIND(" ",TRIM(J28&amp;""))),ISNUMBER(MATCH(LEFT(TRIM(J28&amp;""),FIND(" ",TRIM(J28&amp;""))-1),코드표!$J$2:$J$101,0)),ISNUMBER(MATCH(TRIM(RIGHT(SUBSTITUTE(TRIM(J28&amp;"")," ",REPT(" ",60)),60)),코드표!$F$2:$F$101,0))),INDEX(코드표!$K$2:$K$101,MATCH(LEFT(TRIM(J28&amp;""),FIND(" ",TRIM(J28&amp;""))-1),코드표!$J$2:$J$101,0))&amp;" "&amp;INDEX(코드표!$G$2:$G$101,MATCH(TRIM(RIGHT(SUBSTITUTE(TRIM(J28&amp;"")," ",REPT(" ",60)),60)),코드표!$F$2:$F$101,0)),"⚠"&amp;TRIM(J28&amp;""))),"⚠"&amp;TRIM(J28&amp;""))</f>
        <v/>
      </c>
      <c r="S28" s="11">
        <f>IF(K28="","",IFERROR(IF(AND(ROUND((VALUE(K28&amp;"")-INT(VALUE(K28&amp;"")))*100,0)&gt;=1,ROUND((VALUE(K28&amp;"")-INT(VALUE(K28&amp;"")))*100,0)&lt;=12,INT(VALUE(K28&amp;""))&gt;=1900),DATE(INT(VALUE(K28&amp;"")),ROUND((VALUE(K28&amp;"")-INT(VALUE(K28&amp;"")))*100,0),1),K28&amp;""),K28&amp;""))</f>
        <v/>
      </c>
      <c r="T28" s="10">
        <f>COUNTIF(M28:R28,"⚠*")</f>
        <v/>
      </c>
    </row>
    <row r="29"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M29" s="10">
        <f>IFERROR(IF(TRIM(E29&amp;"")="","",IF(AND(ISNUMBER(FIND(" ",TRIM(E29&amp;""))),ISNUMBER(MATCH(LEFT(TRIM(E29&amp;""),FIND(" ",TRIM(E29&amp;""))-1),코드표!$J$2:$J$101,0)),ISNUMBER(MATCH(TRIM(RIGHT(SUBSTITUTE(TRIM(E29&amp;"")," ",REPT(" ",60)),60)),코드표!$F$2:$F$101,0))),INDEX(코드표!$K$2:$K$101,MATCH(LEFT(TRIM(E29&amp;""),FIND(" ",TRIM(E29&amp;""))-1),코드표!$J$2:$J$101,0))&amp;" "&amp;INDEX(코드표!$G$2:$G$101,MATCH(TRIM(RIGHT(SUBSTITUTE(TRIM(E29&amp;"")," ",REPT(" ",60)),60)),코드표!$F$2:$F$101,0)),"⚠"&amp;TRIM(E29&amp;""))),"⚠"&amp;TRIM(E29&amp;""))</f>
        <v/>
      </c>
      <c r="N29" s="10">
        <f>IFERROR(IF(TRIM(F29&amp;"")="","",IF(AND(ISNUMBER(FIND(" ",TRIM(F29&amp;""))),ISNUMBER(MATCH(LEFT(TRIM(F29&amp;""),FIND(" ",TRIM(F29&amp;""))-1),코드표!$J$2:$J$101,0)),ISNUMBER(MATCH(TRIM(RIGHT(SUBSTITUTE(TRIM(F29&amp;"")," ",REPT(" ",60)),60)),코드표!$F$2:$F$101,0))),INDEX(코드표!$K$2:$K$101,MATCH(LEFT(TRIM(F29&amp;""),FIND(" ",TRIM(F29&amp;""))-1),코드표!$J$2:$J$101,0))&amp;" "&amp;INDEX(코드표!$G$2:$G$101,MATCH(TRIM(RIGHT(SUBSTITUTE(TRIM(F29&amp;"")," ",REPT(" ",60)),60)),코드표!$F$2:$F$101,0)),"⚠"&amp;TRIM(F29&amp;""))),"⚠"&amp;TRIM(F29&amp;""))</f>
        <v/>
      </c>
      <c r="O29" s="10">
        <f>IFERROR(IF(TRIM(G29&amp;"")="","",IF(AND(ISNUMBER(FIND(" ",TRIM(G29&amp;""))),ISNUMBER(MATCH(LEFT(TRIM(G29&amp;""),FIND(" ",TRIM(G29&amp;""))-1),코드표!$J$2:$J$101,0)),ISNUMBER(MATCH(TRIM(RIGHT(SUBSTITUTE(TRIM(G29&amp;"")," ",REPT(" ",60)),60)),코드표!$F$2:$F$101,0))),INDEX(코드표!$K$2:$K$101,MATCH(LEFT(TRIM(G29&amp;""),FIND(" ",TRIM(G29&amp;""))-1),코드표!$J$2:$J$101,0))&amp;" "&amp;INDEX(코드표!$G$2:$G$101,MATCH(TRIM(RIGHT(SUBSTITUTE(TRIM(G29&amp;"")," ",REPT(" ",60)),60)),코드표!$F$2:$F$101,0)),"⚠"&amp;TRIM(G29&amp;""))),"⚠"&amp;TRIM(G29&amp;""))</f>
        <v/>
      </c>
      <c r="P29" s="10">
        <f>IFERROR(IF(TRIM(H29&amp;"")="","",IF(AND(ISNUMBER(FIND(" ",TRIM(H29&amp;""))),ISNUMBER(MATCH(LEFT(TRIM(H29&amp;""),FIND(" ",TRIM(H29&amp;""))-1),코드표!$J$2:$J$101,0)),ISNUMBER(MATCH(TRIM(RIGHT(SUBSTITUTE(TRIM(H29&amp;"")," ",REPT(" ",60)),60)),코드표!$F$2:$F$101,0))),INDEX(코드표!$K$2:$K$101,MATCH(LEFT(TRIM(H29&amp;""),FIND(" ",TRIM(H29&amp;""))-1),코드표!$J$2:$J$101,0))&amp;" "&amp;INDEX(코드표!$G$2:$G$101,MATCH(TRIM(RIGHT(SUBSTITUTE(TRIM(H29&amp;"")," ",REPT(" ",60)),60)),코드표!$F$2:$F$101,0)),"⚠"&amp;TRIM(H29&amp;""))),"⚠"&amp;TRIM(H29&amp;""))</f>
        <v/>
      </c>
      <c r="Q29" s="10">
        <f>IFERROR(IF(TRIM(I29&amp;"")="","",IF(AND(ISNUMBER(FIND(" ",TRIM(I29&amp;""))),ISNUMBER(MATCH(LEFT(TRIM(I29&amp;""),FIND(" ",TRIM(I29&amp;""))-1),코드표!$J$2:$J$101,0)),ISNUMBER(MATCH(TRIM(RIGHT(SUBSTITUTE(TRIM(I29&amp;"")," ",REPT(" ",60)),60)),코드표!$F$2:$F$101,0))),INDEX(코드표!$K$2:$K$101,MATCH(LEFT(TRIM(I29&amp;""),FIND(" ",TRIM(I29&amp;""))-1),코드표!$J$2:$J$101,0))&amp;" "&amp;INDEX(코드표!$G$2:$G$101,MATCH(TRIM(RIGHT(SUBSTITUTE(TRIM(I29&amp;"")," ",REPT(" ",60)),60)),코드표!$F$2:$F$101,0)),"⚠"&amp;TRIM(I29&amp;""))),"⚠"&amp;TRIM(I29&amp;""))</f>
        <v/>
      </c>
      <c r="R29" s="10">
        <f>IFERROR(IF(TRIM(J29&amp;"")="","",IF(AND(ISNUMBER(FIND(" ",TRIM(J29&amp;""))),ISNUMBER(MATCH(LEFT(TRIM(J29&amp;""),FIND(" ",TRIM(J29&amp;""))-1),코드표!$J$2:$J$101,0)),ISNUMBER(MATCH(TRIM(RIGHT(SUBSTITUTE(TRIM(J29&amp;"")," ",REPT(" ",60)),60)),코드표!$F$2:$F$101,0))),INDEX(코드표!$K$2:$K$101,MATCH(LEFT(TRIM(J29&amp;""),FIND(" ",TRIM(J29&amp;""))-1),코드표!$J$2:$J$101,0))&amp;" "&amp;INDEX(코드표!$G$2:$G$101,MATCH(TRIM(RIGHT(SUBSTITUTE(TRIM(J29&amp;"")," ",REPT(" ",60)),60)),코드표!$F$2:$F$101,0)),"⚠"&amp;TRIM(J29&amp;""))),"⚠"&amp;TRIM(J29&amp;""))</f>
        <v/>
      </c>
      <c r="S29" s="11">
        <f>IF(K29="","",IFERROR(IF(AND(ROUND((VALUE(K29&amp;"")-INT(VALUE(K29&amp;"")))*100,0)&gt;=1,ROUND((VALUE(K29&amp;"")-INT(VALUE(K29&amp;"")))*100,0)&lt;=12,INT(VALUE(K29&amp;""))&gt;=1900),DATE(INT(VALUE(K29&amp;"")),ROUND((VALUE(K29&amp;"")-INT(VALUE(K29&amp;"")))*100,0),1),K29&amp;""),K29&amp;""))</f>
        <v/>
      </c>
      <c r="T29" s="10">
        <f>COUNTIF(M29:R29,"⚠*")</f>
        <v/>
      </c>
    </row>
    <row r="30"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M30" s="10">
        <f>IFERROR(IF(TRIM(E30&amp;"")="","",IF(AND(ISNUMBER(FIND(" ",TRIM(E30&amp;""))),ISNUMBER(MATCH(LEFT(TRIM(E30&amp;""),FIND(" ",TRIM(E30&amp;""))-1),코드표!$J$2:$J$101,0)),ISNUMBER(MATCH(TRIM(RIGHT(SUBSTITUTE(TRIM(E30&amp;"")," ",REPT(" ",60)),60)),코드표!$F$2:$F$101,0))),INDEX(코드표!$K$2:$K$101,MATCH(LEFT(TRIM(E30&amp;""),FIND(" ",TRIM(E30&amp;""))-1),코드표!$J$2:$J$101,0))&amp;" "&amp;INDEX(코드표!$G$2:$G$101,MATCH(TRIM(RIGHT(SUBSTITUTE(TRIM(E30&amp;"")," ",REPT(" ",60)),60)),코드표!$F$2:$F$101,0)),"⚠"&amp;TRIM(E30&amp;""))),"⚠"&amp;TRIM(E30&amp;""))</f>
        <v/>
      </c>
      <c r="N30" s="10">
        <f>IFERROR(IF(TRIM(F30&amp;"")="","",IF(AND(ISNUMBER(FIND(" ",TRIM(F30&amp;""))),ISNUMBER(MATCH(LEFT(TRIM(F30&amp;""),FIND(" ",TRIM(F30&amp;""))-1),코드표!$J$2:$J$101,0)),ISNUMBER(MATCH(TRIM(RIGHT(SUBSTITUTE(TRIM(F30&amp;"")," ",REPT(" ",60)),60)),코드표!$F$2:$F$101,0))),INDEX(코드표!$K$2:$K$101,MATCH(LEFT(TRIM(F30&amp;""),FIND(" ",TRIM(F30&amp;""))-1),코드표!$J$2:$J$101,0))&amp;" "&amp;INDEX(코드표!$G$2:$G$101,MATCH(TRIM(RIGHT(SUBSTITUTE(TRIM(F30&amp;"")," ",REPT(" ",60)),60)),코드표!$F$2:$F$101,0)),"⚠"&amp;TRIM(F30&amp;""))),"⚠"&amp;TRIM(F30&amp;""))</f>
        <v/>
      </c>
      <c r="O30" s="10">
        <f>IFERROR(IF(TRIM(G30&amp;"")="","",IF(AND(ISNUMBER(FIND(" ",TRIM(G30&amp;""))),ISNUMBER(MATCH(LEFT(TRIM(G30&amp;""),FIND(" ",TRIM(G30&amp;""))-1),코드표!$J$2:$J$101,0)),ISNUMBER(MATCH(TRIM(RIGHT(SUBSTITUTE(TRIM(G30&amp;"")," ",REPT(" ",60)),60)),코드표!$F$2:$F$101,0))),INDEX(코드표!$K$2:$K$101,MATCH(LEFT(TRIM(G30&amp;""),FIND(" ",TRIM(G30&amp;""))-1),코드표!$J$2:$J$101,0))&amp;" "&amp;INDEX(코드표!$G$2:$G$101,MATCH(TRIM(RIGHT(SUBSTITUTE(TRIM(G30&amp;"")," ",REPT(" ",60)),60)),코드표!$F$2:$F$101,0)),"⚠"&amp;TRIM(G30&amp;""))),"⚠"&amp;TRIM(G30&amp;""))</f>
        <v/>
      </c>
      <c r="P30" s="10">
        <f>IFERROR(IF(TRIM(H30&amp;"")="","",IF(AND(ISNUMBER(FIND(" ",TRIM(H30&amp;""))),ISNUMBER(MATCH(LEFT(TRIM(H30&amp;""),FIND(" ",TRIM(H30&amp;""))-1),코드표!$J$2:$J$101,0)),ISNUMBER(MATCH(TRIM(RIGHT(SUBSTITUTE(TRIM(H30&amp;"")," ",REPT(" ",60)),60)),코드표!$F$2:$F$101,0))),INDEX(코드표!$K$2:$K$101,MATCH(LEFT(TRIM(H30&amp;""),FIND(" ",TRIM(H30&amp;""))-1),코드표!$J$2:$J$101,0))&amp;" "&amp;INDEX(코드표!$G$2:$G$101,MATCH(TRIM(RIGHT(SUBSTITUTE(TRIM(H30&amp;"")," ",REPT(" ",60)),60)),코드표!$F$2:$F$101,0)),"⚠"&amp;TRIM(H30&amp;""))),"⚠"&amp;TRIM(H30&amp;""))</f>
        <v/>
      </c>
      <c r="Q30" s="10">
        <f>IFERROR(IF(TRIM(I30&amp;"")="","",IF(AND(ISNUMBER(FIND(" ",TRIM(I30&amp;""))),ISNUMBER(MATCH(LEFT(TRIM(I30&amp;""),FIND(" ",TRIM(I30&amp;""))-1),코드표!$J$2:$J$101,0)),ISNUMBER(MATCH(TRIM(RIGHT(SUBSTITUTE(TRIM(I30&amp;"")," ",REPT(" ",60)),60)),코드표!$F$2:$F$101,0))),INDEX(코드표!$K$2:$K$101,MATCH(LEFT(TRIM(I30&amp;""),FIND(" ",TRIM(I30&amp;""))-1),코드표!$J$2:$J$101,0))&amp;" "&amp;INDEX(코드표!$G$2:$G$101,MATCH(TRIM(RIGHT(SUBSTITUTE(TRIM(I30&amp;"")," ",REPT(" ",60)),60)),코드표!$F$2:$F$101,0)),"⚠"&amp;TRIM(I30&amp;""))),"⚠"&amp;TRIM(I30&amp;""))</f>
        <v/>
      </c>
      <c r="R30" s="10">
        <f>IFERROR(IF(TRIM(J30&amp;"")="","",IF(AND(ISNUMBER(FIND(" ",TRIM(J30&amp;""))),ISNUMBER(MATCH(LEFT(TRIM(J30&amp;""),FIND(" ",TRIM(J30&amp;""))-1),코드표!$J$2:$J$101,0)),ISNUMBER(MATCH(TRIM(RIGHT(SUBSTITUTE(TRIM(J30&amp;"")," ",REPT(" ",60)),60)),코드표!$F$2:$F$101,0))),INDEX(코드표!$K$2:$K$101,MATCH(LEFT(TRIM(J30&amp;""),FIND(" ",TRIM(J30&amp;""))-1),코드표!$J$2:$J$101,0))&amp;" "&amp;INDEX(코드표!$G$2:$G$101,MATCH(TRIM(RIGHT(SUBSTITUTE(TRIM(J30&amp;"")," ",REPT(" ",60)),60)),코드표!$F$2:$F$101,0)),"⚠"&amp;TRIM(J30&amp;""))),"⚠"&amp;TRIM(J30&amp;""))</f>
        <v/>
      </c>
      <c r="S30" s="11">
        <f>IF(K30="","",IFERROR(IF(AND(ROUND((VALUE(K30&amp;"")-INT(VALUE(K30&amp;"")))*100,0)&gt;=1,ROUND((VALUE(K30&amp;"")-INT(VALUE(K30&amp;"")))*100,0)&lt;=12,INT(VALUE(K30&amp;""))&gt;=1900),DATE(INT(VALUE(K30&amp;"")),ROUND((VALUE(K30&amp;"")-INT(VALUE(K30&amp;"")))*100,0),1),K30&amp;""),K30&amp;""))</f>
        <v/>
      </c>
      <c r="T30" s="10">
        <f>COUNTIF(M30:R30,"⚠*")</f>
        <v/>
      </c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M31" s="10">
        <f>IFERROR(IF(TRIM(E31&amp;"")="","",IF(AND(ISNUMBER(FIND(" ",TRIM(E31&amp;""))),ISNUMBER(MATCH(LEFT(TRIM(E31&amp;""),FIND(" ",TRIM(E31&amp;""))-1),코드표!$J$2:$J$101,0)),ISNUMBER(MATCH(TRIM(RIGHT(SUBSTITUTE(TRIM(E31&amp;"")," ",REPT(" ",60)),60)),코드표!$F$2:$F$101,0))),INDEX(코드표!$K$2:$K$101,MATCH(LEFT(TRIM(E31&amp;""),FIND(" ",TRIM(E31&amp;""))-1),코드표!$J$2:$J$101,0))&amp;" "&amp;INDEX(코드표!$G$2:$G$101,MATCH(TRIM(RIGHT(SUBSTITUTE(TRIM(E31&amp;"")," ",REPT(" ",60)),60)),코드표!$F$2:$F$101,0)),"⚠"&amp;TRIM(E31&amp;""))),"⚠"&amp;TRIM(E31&amp;""))</f>
        <v/>
      </c>
      <c r="N31" s="10">
        <f>IFERROR(IF(TRIM(F31&amp;"")="","",IF(AND(ISNUMBER(FIND(" ",TRIM(F31&amp;""))),ISNUMBER(MATCH(LEFT(TRIM(F31&amp;""),FIND(" ",TRIM(F31&amp;""))-1),코드표!$J$2:$J$101,0)),ISNUMBER(MATCH(TRIM(RIGHT(SUBSTITUTE(TRIM(F31&amp;"")," ",REPT(" ",60)),60)),코드표!$F$2:$F$101,0))),INDEX(코드표!$K$2:$K$101,MATCH(LEFT(TRIM(F31&amp;""),FIND(" ",TRIM(F31&amp;""))-1),코드표!$J$2:$J$101,0))&amp;" "&amp;INDEX(코드표!$G$2:$G$101,MATCH(TRIM(RIGHT(SUBSTITUTE(TRIM(F31&amp;"")," ",REPT(" ",60)),60)),코드표!$F$2:$F$101,0)),"⚠"&amp;TRIM(F31&amp;""))),"⚠"&amp;TRIM(F31&amp;""))</f>
        <v/>
      </c>
      <c r="O31" s="10">
        <f>IFERROR(IF(TRIM(G31&amp;"")="","",IF(AND(ISNUMBER(FIND(" ",TRIM(G31&amp;""))),ISNUMBER(MATCH(LEFT(TRIM(G31&amp;""),FIND(" ",TRIM(G31&amp;""))-1),코드표!$J$2:$J$101,0)),ISNUMBER(MATCH(TRIM(RIGHT(SUBSTITUTE(TRIM(G31&amp;"")," ",REPT(" ",60)),60)),코드표!$F$2:$F$101,0))),INDEX(코드표!$K$2:$K$101,MATCH(LEFT(TRIM(G31&amp;""),FIND(" ",TRIM(G31&amp;""))-1),코드표!$J$2:$J$101,0))&amp;" "&amp;INDEX(코드표!$G$2:$G$101,MATCH(TRIM(RIGHT(SUBSTITUTE(TRIM(G31&amp;"")," ",REPT(" ",60)),60)),코드표!$F$2:$F$101,0)),"⚠"&amp;TRIM(G31&amp;""))),"⚠"&amp;TRIM(G31&amp;""))</f>
        <v/>
      </c>
      <c r="P31" s="10">
        <f>IFERROR(IF(TRIM(H31&amp;"")="","",IF(AND(ISNUMBER(FIND(" ",TRIM(H31&amp;""))),ISNUMBER(MATCH(LEFT(TRIM(H31&amp;""),FIND(" ",TRIM(H31&amp;""))-1),코드표!$J$2:$J$101,0)),ISNUMBER(MATCH(TRIM(RIGHT(SUBSTITUTE(TRIM(H31&amp;"")," ",REPT(" ",60)),60)),코드표!$F$2:$F$101,0))),INDEX(코드표!$K$2:$K$101,MATCH(LEFT(TRIM(H31&amp;""),FIND(" ",TRIM(H31&amp;""))-1),코드표!$J$2:$J$101,0))&amp;" "&amp;INDEX(코드표!$G$2:$G$101,MATCH(TRIM(RIGHT(SUBSTITUTE(TRIM(H31&amp;"")," ",REPT(" ",60)),60)),코드표!$F$2:$F$101,0)),"⚠"&amp;TRIM(H31&amp;""))),"⚠"&amp;TRIM(H31&amp;""))</f>
        <v/>
      </c>
      <c r="Q31" s="10">
        <f>IFERROR(IF(TRIM(I31&amp;"")="","",IF(AND(ISNUMBER(FIND(" ",TRIM(I31&amp;""))),ISNUMBER(MATCH(LEFT(TRIM(I31&amp;""),FIND(" ",TRIM(I31&amp;""))-1),코드표!$J$2:$J$101,0)),ISNUMBER(MATCH(TRIM(RIGHT(SUBSTITUTE(TRIM(I31&amp;"")," ",REPT(" ",60)),60)),코드표!$F$2:$F$101,0))),INDEX(코드표!$K$2:$K$101,MATCH(LEFT(TRIM(I31&amp;""),FIND(" ",TRIM(I31&amp;""))-1),코드표!$J$2:$J$101,0))&amp;" "&amp;INDEX(코드표!$G$2:$G$101,MATCH(TRIM(RIGHT(SUBSTITUTE(TRIM(I31&amp;"")," ",REPT(" ",60)),60)),코드표!$F$2:$F$101,0)),"⚠"&amp;TRIM(I31&amp;""))),"⚠"&amp;TRIM(I31&amp;""))</f>
        <v/>
      </c>
      <c r="R31" s="10">
        <f>IFERROR(IF(TRIM(J31&amp;"")="","",IF(AND(ISNUMBER(FIND(" ",TRIM(J31&amp;""))),ISNUMBER(MATCH(LEFT(TRIM(J31&amp;""),FIND(" ",TRIM(J31&amp;""))-1),코드표!$J$2:$J$101,0)),ISNUMBER(MATCH(TRIM(RIGHT(SUBSTITUTE(TRIM(J31&amp;"")," ",REPT(" ",60)),60)),코드표!$F$2:$F$101,0))),INDEX(코드표!$K$2:$K$101,MATCH(LEFT(TRIM(J31&amp;""),FIND(" ",TRIM(J31&amp;""))-1),코드표!$J$2:$J$101,0))&amp;" "&amp;INDEX(코드표!$G$2:$G$101,MATCH(TRIM(RIGHT(SUBSTITUTE(TRIM(J31&amp;"")," ",REPT(" ",60)),60)),코드표!$F$2:$F$101,0)),"⚠"&amp;TRIM(J31&amp;""))),"⚠"&amp;TRIM(J31&amp;""))</f>
        <v/>
      </c>
      <c r="S31" s="11">
        <f>IF(K31="","",IFERROR(IF(AND(ROUND((VALUE(K31&amp;"")-INT(VALUE(K31&amp;"")))*100,0)&gt;=1,ROUND((VALUE(K31&amp;"")-INT(VALUE(K31&amp;"")))*100,0)&lt;=12,INT(VALUE(K31&amp;""))&gt;=1900),DATE(INT(VALUE(K31&amp;"")),ROUND((VALUE(K31&amp;"")-INT(VALUE(K31&amp;"")))*100,0),1),K31&amp;""),K31&amp;""))</f>
        <v/>
      </c>
      <c r="T31" s="10">
        <f>COUNTIF(M31:R31,"⚠*")</f>
        <v/>
      </c>
    </row>
    <row r="32"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M32" s="10">
        <f>IFERROR(IF(TRIM(E32&amp;"")="","",IF(AND(ISNUMBER(FIND(" ",TRIM(E32&amp;""))),ISNUMBER(MATCH(LEFT(TRIM(E32&amp;""),FIND(" ",TRIM(E32&amp;""))-1),코드표!$J$2:$J$101,0)),ISNUMBER(MATCH(TRIM(RIGHT(SUBSTITUTE(TRIM(E32&amp;"")," ",REPT(" ",60)),60)),코드표!$F$2:$F$101,0))),INDEX(코드표!$K$2:$K$101,MATCH(LEFT(TRIM(E32&amp;""),FIND(" ",TRIM(E32&amp;""))-1),코드표!$J$2:$J$101,0))&amp;" "&amp;INDEX(코드표!$G$2:$G$101,MATCH(TRIM(RIGHT(SUBSTITUTE(TRIM(E32&amp;"")," ",REPT(" ",60)),60)),코드표!$F$2:$F$101,0)),"⚠"&amp;TRIM(E32&amp;""))),"⚠"&amp;TRIM(E32&amp;""))</f>
        <v/>
      </c>
      <c r="N32" s="10">
        <f>IFERROR(IF(TRIM(F32&amp;"")="","",IF(AND(ISNUMBER(FIND(" ",TRIM(F32&amp;""))),ISNUMBER(MATCH(LEFT(TRIM(F32&amp;""),FIND(" ",TRIM(F32&amp;""))-1),코드표!$J$2:$J$101,0)),ISNUMBER(MATCH(TRIM(RIGHT(SUBSTITUTE(TRIM(F32&amp;"")," ",REPT(" ",60)),60)),코드표!$F$2:$F$101,0))),INDEX(코드표!$K$2:$K$101,MATCH(LEFT(TRIM(F32&amp;""),FIND(" ",TRIM(F32&amp;""))-1),코드표!$J$2:$J$101,0))&amp;" "&amp;INDEX(코드표!$G$2:$G$101,MATCH(TRIM(RIGHT(SUBSTITUTE(TRIM(F32&amp;"")," ",REPT(" ",60)),60)),코드표!$F$2:$F$101,0)),"⚠"&amp;TRIM(F32&amp;""))),"⚠"&amp;TRIM(F32&amp;""))</f>
        <v/>
      </c>
      <c r="O32" s="10">
        <f>IFERROR(IF(TRIM(G32&amp;"")="","",IF(AND(ISNUMBER(FIND(" ",TRIM(G32&amp;""))),ISNUMBER(MATCH(LEFT(TRIM(G32&amp;""),FIND(" ",TRIM(G32&amp;""))-1),코드표!$J$2:$J$101,0)),ISNUMBER(MATCH(TRIM(RIGHT(SUBSTITUTE(TRIM(G32&amp;"")," ",REPT(" ",60)),60)),코드표!$F$2:$F$101,0))),INDEX(코드표!$K$2:$K$101,MATCH(LEFT(TRIM(G32&amp;""),FIND(" ",TRIM(G32&amp;""))-1),코드표!$J$2:$J$101,0))&amp;" "&amp;INDEX(코드표!$G$2:$G$101,MATCH(TRIM(RIGHT(SUBSTITUTE(TRIM(G32&amp;"")," ",REPT(" ",60)),60)),코드표!$F$2:$F$101,0)),"⚠"&amp;TRIM(G32&amp;""))),"⚠"&amp;TRIM(G32&amp;""))</f>
        <v/>
      </c>
      <c r="P32" s="10">
        <f>IFERROR(IF(TRIM(H32&amp;"")="","",IF(AND(ISNUMBER(FIND(" ",TRIM(H32&amp;""))),ISNUMBER(MATCH(LEFT(TRIM(H32&amp;""),FIND(" ",TRIM(H32&amp;""))-1),코드표!$J$2:$J$101,0)),ISNUMBER(MATCH(TRIM(RIGHT(SUBSTITUTE(TRIM(H32&amp;"")," ",REPT(" ",60)),60)),코드표!$F$2:$F$101,0))),INDEX(코드표!$K$2:$K$101,MATCH(LEFT(TRIM(H32&amp;""),FIND(" ",TRIM(H32&amp;""))-1),코드표!$J$2:$J$101,0))&amp;" "&amp;INDEX(코드표!$G$2:$G$101,MATCH(TRIM(RIGHT(SUBSTITUTE(TRIM(H32&amp;"")," ",REPT(" ",60)),60)),코드표!$F$2:$F$101,0)),"⚠"&amp;TRIM(H32&amp;""))),"⚠"&amp;TRIM(H32&amp;""))</f>
        <v/>
      </c>
      <c r="Q32" s="10">
        <f>IFERROR(IF(TRIM(I32&amp;"")="","",IF(AND(ISNUMBER(FIND(" ",TRIM(I32&amp;""))),ISNUMBER(MATCH(LEFT(TRIM(I32&amp;""),FIND(" ",TRIM(I32&amp;""))-1),코드표!$J$2:$J$101,0)),ISNUMBER(MATCH(TRIM(RIGHT(SUBSTITUTE(TRIM(I32&amp;"")," ",REPT(" ",60)),60)),코드표!$F$2:$F$101,0))),INDEX(코드표!$K$2:$K$101,MATCH(LEFT(TRIM(I32&amp;""),FIND(" ",TRIM(I32&amp;""))-1),코드표!$J$2:$J$101,0))&amp;" "&amp;INDEX(코드표!$G$2:$G$101,MATCH(TRIM(RIGHT(SUBSTITUTE(TRIM(I32&amp;"")," ",REPT(" ",60)),60)),코드표!$F$2:$F$101,0)),"⚠"&amp;TRIM(I32&amp;""))),"⚠"&amp;TRIM(I32&amp;""))</f>
        <v/>
      </c>
      <c r="R32" s="10">
        <f>IFERROR(IF(TRIM(J32&amp;"")="","",IF(AND(ISNUMBER(FIND(" ",TRIM(J32&amp;""))),ISNUMBER(MATCH(LEFT(TRIM(J32&amp;""),FIND(" ",TRIM(J32&amp;""))-1),코드표!$J$2:$J$101,0)),ISNUMBER(MATCH(TRIM(RIGHT(SUBSTITUTE(TRIM(J32&amp;"")," ",REPT(" ",60)),60)),코드표!$F$2:$F$101,0))),INDEX(코드표!$K$2:$K$101,MATCH(LEFT(TRIM(J32&amp;""),FIND(" ",TRIM(J32&amp;""))-1),코드표!$J$2:$J$101,0))&amp;" "&amp;INDEX(코드표!$G$2:$G$101,MATCH(TRIM(RIGHT(SUBSTITUTE(TRIM(J32&amp;"")," ",REPT(" ",60)),60)),코드표!$F$2:$F$101,0)),"⚠"&amp;TRIM(J32&amp;""))),"⚠"&amp;TRIM(J32&amp;""))</f>
        <v/>
      </c>
      <c r="S32" s="11">
        <f>IF(K32="","",IFERROR(IF(AND(ROUND((VALUE(K32&amp;"")-INT(VALUE(K32&amp;"")))*100,0)&gt;=1,ROUND((VALUE(K32&amp;"")-INT(VALUE(K32&amp;"")))*100,0)&lt;=12,INT(VALUE(K32&amp;""))&gt;=1900),DATE(INT(VALUE(K32&amp;"")),ROUND((VALUE(K32&amp;"")-INT(VALUE(K32&amp;"")))*100,0),1),K32&amp;""),K32&amp;""))</f>
        <v/>
      </c>
      <c r="T32" s="10">
        <f>COUNTIF(M32:R32,"⚠*")</f>
        <v/>
      </c>
    </row>
    <row r="33"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M33" s="10">
        <f>IFERROR(IF(TRIM(E33&amp;"")="","",IF(AND(ISNUMBER(FIND(" ",TRIM(E33&amp;""))),ISNUMBER(MATCH(LEFT(TRIM(E33&amp;""),FIND(" ",TRIM(E33&amp;""))-1),코드표!$J$2:$J$101,0)),ISNUMBER(MATCH(TRIM(RIGHT(SUBSTITUTE(TRIM(E33&amp;"")," ",REPT(" ",60)),60)),코드표!$F$2:$F$101,0))),INDEX(코드표!$K$2:$K$101,MATCH(LEFT(TRIM(E33&amp;""),FIND(" ",TRIM(E33&amp;""))-1),코드표!$J$2:$J$101,0))&amp;" "&amp;INDEX(코드표!$G$2:$G$101,MATCH(TRIM(RIGHT(SUBSTITUTE(TRIM(E33&amp;"")," ",REPT(" ",60)),60)),코드표!$F$2:$F$101,0)),"⚠"&amp;TRIM(E33&amp;""))),"⚠"&amp;TRIM(E33&amp;""))</f>
        <v/>
      </c>
      <c r="N33" s="10">
        <f>IFERROR(IF(TRIM(F33&amp;"")="","",IF(AND(ISNUMBER(FIND(" ",TRIM(F33&amp;""))),ISNUMBER(MATCH(LEFT(TRIM(F33&amp;""),FIND(" ",TRIM(F33&amp;""))-1),코드표!$J$2:$J$101,0)),ISNUMBER(MATCH(TRIM(RIGHT(SUBSTITUTE(TRIM(F33&amp;"")," ",REPT(" ",60)),60)),코드표!$F$2:$F$101,0))),INDEX(코드표!$K$2:$K$101,MATCH(LEFT(TRIM(F33&amp;""),FIND(" ",TRIM(F33&amp;""))-1),코드표!$J$2:$J$101,0))&amp;" "&amp;INDEX(코드표!$G$2:$G$101,MATCH(TRIM(RIGHT(SUBSTITUTE(TRIM(F33&amp;"")," ",REPT(" ",60)),60)),코드표!$F$2:$F$101,0)),"⚠"&amp;TRIM(F33&amp;""))),"⚠"&amp;TRIM(F33&amp;""))</f>
        <v/>
      </c>
      <c r="O33" s="10">
        <f>IFERROR(IF(TRIM(G33&amp;"")="","",IF(AND(ISNUMBER(FIND(" ",TRIM(G33&amp;""))),ISNUMBER(MATCH(LEFT(TRIM(G33&amp;""),FIND(" ",TRIM(G33&amp;""))-1),코드표!$J$2:$J$101,0)),ISNUMBER(MATCH(TRIM(RIGHT(SUBSTITUTE(TRIM(G33&amp;"")," ",REPT(" ",60)),60)),코드표!$F$2:$F$101,0))),INDEX(코드표!$K$2:$K$101,MATCH(LEFT(TRIM(G33&amp;""),FIND(" ",TRIM(G33&amp;""))-1),코드표!$J$2:$J$101,0))&amp;" "&amp;INDEX(코드표!$G$2:$G$101,MATCH(TRIM(RIGHT(SUBSTITUTE(TRIM(G33&amp;"")," ",REPT(" ",60)),60)),코드표!$F$2:$F$101,0)),"⚠"&amp;TRIM(G33&amp;""))),"⚠"&amp;TRIM(G33&amp;""))</f>
        <v/>
      </c>
      <c r="P33" s="10">
        <f>IFERROR(IF(TRIM(H33&amp;"")="","",IF(AND(ISNUMBER(FIND(" ",TRIM(H33&amp;""))),ISNUMBER(MATCH(LEFT(TRIM(H33&amp;""),FIND(" ",TRIM(H33&amp;""))-1),코드표!$J$2:$J$101,0)),ISNUMBER(MATCH(TRIM(RIGHT(SUBSTITUTE(TRIM(H33&amp;"")," ",REPT(" ",60)),60)),코드표!$F$2:$F$101,0))),INDEX(코드표!$K$2:$K$101,MATCH(LEFT(TRIM(H33&amp;""),FIND(" ",TRIM(H33&amp;""))-1),코드표!$J$2:$J$101,0))&amp;" "&amp;INDEX(코드표!$G$2:$G$101,MATCH(TRIM(RIGHT(SUBSTITUTE(TRIM(H33&amp;"")," ",REPT(" ",60)),60)),코드표!$F$2:$F$101,0)),"⚠"&amp;TRIM(H33&amp;""))),"⚠"&amp;TRIM(H33&amp;""))</f>
        <v/>
      </c>
      <c r="Q33" s="10">
        <f>IFERROR(IF(TRIM(I33&amp;"")="","",IF(AND(ISNUMBER(FIND(" ",TRIM(I33&amp;""))),ISNUMBER(MATCH(LEFT(TRIM(I33&amp;""),FIND(" ",TRIM(I33&amp;""))-1),코드표!$J$2:$J$101,0)),ISNUMBER(MATCH(TRIM(RIGHT(SUBSTITUTE(TRIM(I33&amp;"")," ",REPT(" ",60)),60)),코드표!$F$2:$F$101,0))),INDEX(코드표!$K$2:$K$101,MATCH(LEFT(TRIM(I33&amp;""),FIND(" ",TRIM(I33&amp;""))-1),코드표!$J$2:$J$101,0))&amp;" "&amp;INDEX(코드표!$G$2:$G$101,MATCH(TRIM(RIGHT(SUBSTITUTE(TRIM(I33&amp;"")," ",REPT(" ",60)),60)),코드표!$F$2:$F$101,0)),"⚠"&amp;TRIM(I33&amp;""))),"⚠"&amp;TRIM(I33&amp;""))</f>
        <v/>
      </c>
      <c r="R33" s="10">
        <f>IFERROR(IF(TRIM(J33&amp;"")="","",IF(AND(ISNUMBER(FIND(" ",TRIM(J33&amp;""))),ISNUMBER(MATCH(LEFT(TRIM(J33&amp;""),FIND(" ",TRIM(J33&amp;""))-1),코드표!$J$2:$J$101,0)),ISNUMBER(MATCH(TRIM(RIGHT(SUBSTITUTE(TRIM(J33&amp;"")," ",REPT(" ",60)),60)),코드표!$F$2:$F$101,0))),INDEX(코드표!$K$2:$K$101,MATCH(LEFT(TRIM(J33&amp;""),FIND(" ",TRIM(J33&amp;""))-1),코드표!$J$2:$J$101,0))&amp;" "&amp;INDEX(코드표!$G$2:$G$101,MATCH(TRIM(RIGHT(SUBSTITUTE(TRIM(J33&amp;"")," ",REPT(" ",60)),60)),코드표!$F$2:$F$101,0)),"⚠"&amp;TRIM(J33&amp;""))),"⚠"&amp;TRIM(J33&amp;""))</f>
        <v/>
      </c>
      <c r="S33" s="11">
        <f>IF(K33="","",IFERROR(IF(AND(ROUND((VALUE(K33&amp;"")-INT(VALUE(K33&amp;"")))*100,0)&gt;=1,ROUND((VALUE(K33&amp;"")-INT(VALUE(K33&amp;"")))*100,0)&lt;=12,INT(VALUE(K33&amp;""))&gt;=1900),DATE(INT(VALUE(K33&amp;"")),ROUND((VALUE(K33&amp;"")-INT(VALUE(K33&amp;"")))*100,0),1),K33&amp;""),K33&amp;""))</f>
        <v/>
      </c>
      <c r="T33" s="10">
        <f>COUNTIF(M33:R33,"⚠*")</f>
        <v/>
      </c>
    </row>
    <row r="34"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M34" s="10">
        <f>IFERROR(IF(TRIM(E34&amp;"")="","",IF(AND(ISNUMBER(FIND(" ",TRIM(E34&amp;""))),ISNUMBER(MATCH(LEFT(TRIM(E34&amp;""),FIND(" ",TRIM(E34&amp;""))-1),코드표!$J$2:$J$101,0)),ISNUMBER(MATCH(TRIM(RIGHT(SUBSTITUTE(TRIM(E34&amp;"")," ",REPT(" ",60)),60)),코드표!$F$2:$F$101,0))),INDEX(코드표!$K$2:$K$101,MATCH(LEFT(TRIM(E34&amp;""),FIND(" ",TRIM(E34&amp;""))-1),코드표!$J$2:$J$101,0))&amp;" "&amp;INDEX(코드표!$G$2:$G$101,MATCH(TRIM(RIGHT(SUBSTITUTE(TRIM(E34&amp;"")," ",REPT(" ",60)),60)),코드표!$F$2:$F$101,0)),"⚠"&amp;TRIM(E34&amp;""))),"⚠"&amp;TRIM(E34&amp;""))</f>
        <v/>
      </c>
      <c r="N34" s="10">
        <f>IFERROR(IF(TRIM(F34&amp;"")="","",IF(AND(ISNUMBER(FIND(" ",TRIM(F34&amp;""))),ISNUMBER(MATCH(LEFT(TRIM(F34&amp;""),FIND(" ",TRIM(F34&amp;""))-1),코드표!$J$2:$J$101,0)),ISNUMBER(MATCH(TRIM(RIGHT(SUBSTITUTE(TRIM(F34&amp;"")," ",REPT(" ",60)),60)),코드표!$F$2:$F$101,0))),INDEX(코드표!$K$2:$K$101,MATCH(LEFT(TRIM(F34&amp;""),FIND(" ",TRIM(F34&amp;""))-1),코드표!$J$2:$J$101,0))&amp;" "&amp;INDEX(코드표!$G$2:$G$101,MATCH(TRIM(RIGHT(SUBSTITUTE(TRIM(F34&amp;"")," ",REPT(" ",60)),60)),코드표!$F$2:$F$101,0)),"⚠"&amp;TRIM(F34&amp;""))),"⚠"&amp;TRIM(F34&amp;""))</f>
        <v/>
      </c>
      <c r="O34" s="10">
        <f>IFERROR(IF(TRIM(G34&amp;"")="","",IF(AND(ISNUMBER(FIND(" ",TRIM(G34&amp;""))),ISNUMBER(MATCH(LEFT(TRIM(G34&amp;""),FIND(" ",TRIM(G34&amp;""))-1),코드표!$J$2:$J$101,0)),ISNUMBER(MATCH(TRIM(RIGHT(SUBSTITUTE(TRIM(G34&amp;"")," ",REPT(" ",60)),60)),코드표!$F$2:$F$101,0))),INDEX(코드표!$K$2:$K$101,MATCH(LEFT(TRIM(G34&amp;""),FIND(" ",TRIM(G34&amp;""))-1),코드표!$J$2:$J$101,0))&amp;" "&amp;INDEX(코드표!$G$2:$G$101,MATCH(TRIM(RIGHT(SUBSTITUTE(TRIM(G34&amp;"")," ",REPT(" ",60)),60)),코드표!$F$2:$F$101,0)),"⚠"&amp;TRIM(G34&amp;""))),"⚠"&amp;TRIM(G34&amp;""))</f>
        <v/>
      </c>
      <c r="P34" s="10">
        <f>IFERROR(IF(TRIM(H34&amp;"")="","",IF(AND(ISNUMBER(FIND(" ",TRIM(H34&amp;""))),ISNUMBER(MATCH(LEFT(TRIM(H34&amp;""),FIND(" ",TRIM(H34&amp;""))-1),코드표!$J$2:$J$101,0)),ISNUMBER(MATCH(TRIM(RIGHT(SUBSTITUTE(TRIM(H34&amp;"")," ",REPT(" ",60)),60)),코드표!$F$2:$F$101,0))),INDEX(코드표!$K$2:$K$101,MATCH(LEFT(TRIM(H34&amp;""),FIND(" ",TRIM(H34&amp;""))-1),코드표!$J$2:$J$101,0))&amp;" "&amp;INDEX(코드표!$G$2:$G$101,MATCH(TRIM(RIGHT(SUBSTITUTE(TRIM(H34&amp;"")," ",REPT(" ",60)),60)),코드표!$F$2:$F$101,0)),"⚠"&amp;TRIM(H34&amp;""))),"⚠"&amp;TRIM(H34&amp;""))</f>
        <v/>
      </c>
      <c r="Q34" s="10">
        <f>IFERROR(IF(TRIM(I34&amp;"")="","",IF(AND(ISNUMBER(FIND(" ",TRIM(I34&amp;""))),ISNUMBER(MATCH(LEFT(TRIM(I34&amp;""),FIND(" ",TRIM(I34&amp;""))-1),코드표!$J$2:$J$101,0)),ISNUMBER(MATCH(TRIM(RIGHT(SUBSTITUTE(TRIM(I34&amp;"")," ",REPT(" ",60)),60)),코드표!$F$2:$F$101,0))),INDEX(코드표!$K$2:$K$101,MATCH(LEFT(TRIM(I34&amp;""),FIND(" ",TRIM(I34&amp;""))-1),코드표!$J$2:$J$101,0))&amp;" "&amp;INDEX(코드표!$G$2:$G$101,MATCH(TRIM(RIGHT(SUBSTITUTE(TRIM(I34&amp;"")," ",REPT(" ",60)),60)),코드표!$F$2:$F$101,0)),"⚠"&amp;TRIM(I34&amp;""))),"⚠"&amp;TRIM(I34&amp;""))</f>
        <v/>
      </c>
      <c r="R34" s="10">
        <f>IFERROR(IF(TRIM(J34&amp;"")="","",IF(AND(ISNUMBER(FIND(" ",TRIM(J34&amp;""))),ISNUMBER(MATCH(LEFT(TRIM(J34&amp;""),FIND(" ",TRIM(J34&amp;""))-1),코드표!$J$2:$J$101,0)),ISNUMBER(MATCH(TRIM(RIGHT(SUBSTITUTE(TRIM(J34&amp;"")," ",REPT(" ",60)),60)),코드표!$F$2:$F$101,0))),INDEX(코드표!$K$2:$K$101,MATCH(LEFT(TRIM(J34&amp;""),FIND(" ",TRIM(J34&amp;""))-1),코드표!$J$2:$J$101,0))&amp;" "&amp;INDEX(코드표!$G$2:$G$101,MATCH(TRIM(RIGHT(SUBSTITUTE(TRIM(J34&amp;"")," ",REPT(" ",60)),60)),코드표!$F$2:$F$101,0)),"⚠"&amp;TRIM(J34&amp;""))),"⚠"&amp;TRIM(J34&amp;""))</f>
        <v/>
      </c>
      <c r="S34" s="11">
        <f>IF(K34="","",IFERROR(IF(AND(ROUND((VALUE(K34&amp;"")-INT(VALUE(K34&amp;"")))*100,0)&gt;=1,ROUND((VALUE(K34&amp;"")-INT(VALUE(K34&amp;"")))*100,0)&lt;=12,INT(VALUE(K34&amp;""))&gt;=1900),DATE(INT(VALUE(K34&amp;"")),ROUND((VALUE(K34&amp;"")-INT(VALUE(K34&amp;"")))*100,0),1),K34&amp;""),K34&amp;""))</f>
        <v/>
      </c>
      <c r="T34" s="10">
        <f>COUNTIF(M34:R34,"⚠*")</f>
        <v/>
      </c>
    </row>
    <row r="35"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M35" s="10">
        <f>IFERROR(IF(TRIM(E35&amp;"")="","",IF(AND(ISNUMBER(FIND(" ",TRIM(E35&amp;""))),ISNUMBER(MATCH(LEFT(TRIM(E35&amp;""),FIND(" ",TRIM(E35&amp;""))-1),코드표!$J$2:$J$101,0)),ISNUMBER(MATCH(TRIM(RIGHT(SUBSTITUTE(TRIM(E35&amp;"")," ",REPT(" ",60)),60)),코드표!$F$2:$F$101,0))),INDEX(코드표!$K$2:$K$101,MATCH(LEFT(TRIM(E35&amp;""),FIND(" ",TRIM(E35&amp;""))-1),코드표!$J$2:$J$101,0))&amp;" "&amp;INDEX(코드표!$G$2:$G$101,MATCH(TRIM(RIGHT(SUBSTITUTE(TRIM(E35&amp;"")," ",REPT(" ",60)),60)),코드표!$F$2:$F$101,0)),"⚠"&amp;TRIM(E35&amp;""))),"⚠"&amp;TRIM(E35&amp;""))</f>
        <v/>
      </c>
      <c r="N35" s="10">
        <f>IFERROR(IF(TRIM(F35&amp;"")="","",IF(AND(ISNUMBER(FIND(" ",TRIM(F35&amp;""))),ISNUMBER(MATCH(LEFT(TRIM(F35&amp;""),FIND(" ",TRIM(F35&amp;""))-1),코드표!$J$2:$J$101,0)),ISNUMBER(MATCH(TRIM(RIGHT(SUBSTITUTE(TRIM(F35&amp;"")," ",REPT(" ",60)),60)),코드표!$F$2:$F$101,0))),INDEX(코드표!$K$2:$K$101,MATCH(LEFT(TRIM(F35&amp;""),FIND(" ",TRIM(F35&amp;""))-1),코드표!$J$2:$J$101,0))&amp;" "&amp;INDEX(코드표!$G$2:$G$101,MATCH(TRIM(RIGHT(SUBSTITUTE(TRIM(F35&amp;"")," ",REPT(" ",60)),60)),코드표!$F$2:$F$101,0)),"⚠"&amp;TRIM(F35&amp;""))),"⚠"&amp;TRIM(F35&amp;""))</f>
        <v/>
      </c>
      <c r="O35" s="10">
        <f>IFERROR(IF(TRIM(G35&amp;"")="","",IF(AND(ISNUMBER(FIND(" ",TRIM(G35&amp;""))),ISNUMBER(MATCH(LEFT(TRIM(G35&amp;""),FIND(" ",TRIM(G35&amp;""))-1),코드표!$J$2:$J$101,0)),ISNUMBER(MATCH(TRIM(RIGHT(SUBSTITUTE(TRIM(G35&amp;"")," ",REPT(" ",60)),60)),코드표!$F$2:$F$101,0))),INDEX(코드표!$K$2:$K$101,MATCH(LEFT(TRIM(G35&amp;""),FIND(" ",TRIM(G35&amp;""))-1),코드표!$J$2:$J$101,0))&amp;" "&amp;INDEX(코드표!$G$2:$G$101,MATCH(TRIM(RIGHT(SUBSTITUTE(TRIM(G35&amp;"")," ",REPT(" ",60)),60)),코드표!$F$2:$F$101,0)),"⚠"&amp;TRIM(G35&amp;""))),"⚠"&amp;TRIM(G35&amp;""))</f>
        <v/>
      </c>
      <c r="P35" s="10">
        <f>IFERROR(IF(TRIM(H35&amp;"")="","",IF(AND(ISNUMBER(FIND(" ",TRIM(H35&amp;""))),ISNUMBER(MATCH(LEFT(TRIM(H35&amp;""),FIND(" ",TRIM(H35&amp;""))-1),코드표!$J$2:$J$101,0)),ISNUMBER(MATCH(TRIM(RIGHT(SUBSTITUTE(TRIM(H35&amp;"")," ",REPT(" ",60)),60)),코드표!$F$2:$F$101,0))),INDEX(코드표!$K$2:$K$101,MATCH(LEFT(TRIM(H35&amp;""),FIND(" ",TRIM(H35&amp;""))-1),코드표!$J$2:$J$101,0))&amp;" "&amp;INDEX(코드표!$G$2:$G$101,MATCH(TRIM(RIGHT(SUBSTITUTE(TRIM(H35&amp;"")," ",REPT(" ",60)),60)),코드표!$F$2:$F$101,0)),"⚠"&amp;TRIM(H35&amp;""))),"⚠"&amp;TRIM(H35&amp;""))</f>
        <v/>
      </c>
      <c r="Q35" s="10">
        <f>IFERROR(IF(TRIM(I35&amp;"")="","",IF(AND(ISNUMBER(FIND(" ",TRIM(I35&amp;""))),ISNUMBER(MATCH(LEFT(TRIM(I35&amp;""),FIND(" ",TRIM(I35&amp;""))-1),코드표!$J$2:$J$101,0)),ISNUMBER(MATCH(TRIM(RIGHT(SUBSTITUTE(TRIM(I35&amp;"")," ",REPT(" ",60)),60)),코드표!$F$2:$F$101,0))),INDEX(코드표!$K$2:$K$101,MATCH(LEFT(TRIM(I35&amp;""),FIND(" ",TRIM(I35&amp;""))-1),코드표!$J$2:$J$101,0))&amp;" "&amp;INDEX(코드표!$G$2:$G$101,MATCH(TRIM(RIGHT(SUBSTITUTE(TRIM(I35&amp;"")," ",REPT(" ",60)),60)),코드표!$F$2:$F$101,0)),"⚠"&amp;TRIM(I35&amp;""))),"⚠"&amp;TRIM(I35&amp;""))</f>
        <v/>
      </c>
      <c r="R35" s="10">
        <f>IFERROR(IF(TRIM(J35&amp;"")="","",IF(AND(ISNUMBER(FIND(" ",TRIM(J35&amp;""))),ISNUMBER(MATCH(LEFT(TRIM(J35&amp;""),FIND(" ",TRIM(J35&amp;""))-1),코드표!$J$2:$J$101,0)),ISNUMBER(MATCH(TRIM(RIGHT(SUBSTITUTE(TRIM(J35&amp;"")," ",REPT(" ",60)),60)),코드표!$F$2:$F$101,0))),INDEX(코드표!$K$2:$K$101,MATCH(LEFT(TRIM(J35&amp;""),FIND(" ",TRIM(J35&amp;""))-1),코드표!$J$2:$J$101,0))&amp;" "&amp;INDEX(코드표!$G$2:$G$101,MATCH(TRIM(RIGHT(SUBSTITUTE(TRIM(J35&amp;"")," ",REPT(" ",60)),60)),코드표!$F$2:$F$101,0)),"⚠"&amp;TRIM(J35&amp;""))),"⚠"&amp;TRIM(J35&amp;""))</f>
        <v/>
      </c>
      <c r="S35" s="11">
        <f>IF(K35="","",IFERROR(IF(AND(ROUND((VALUE(K35&amp;"")-INT(VALUE(K35&amp;"")))*100,0)&gt;=1,ROUND((VALUE(K35&amp;"")-INT(VALUE(K35&amp;"")))*100,0)&lt;=12,INT(VALUE(K35&amp;""))&gt;=1900),DATE(INT(VALUE(K35&amp;"")),ROUND((VALUE(K35&amp;"")-INT(VALUE(K35&amp;"")))*100,0),1),K35&amp;""),K35&amp;""))</f>
        <v/>
      </c>
      <c r="T35" s="10">
        <f>COUNTIF(M35:R35,"⚠*")</f>
        <v/>
      </c>
    </row>
    <row r="36"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M36" s="10">
        <f>IFERROR(IF(TRIM(E36&amp;"")="","",IF(AND(ISNUMBER(FIND(" ",TRIM(E36&amp;""))),ISNUMBER(MATCH(LEFT(TRIM(E36&amp;""),FIND(" ",TRIM(E36&amp;""))-1),코드표!$J$2:$J$101,0)),ISNUMBER(MATCH(TRIM(RIGHT(SUBSTITUTE(TRIM(E36&amp;"")," ",REPT(" ",60)),60)),코드표!$F$2:$F$101,0))),INDEX(코드표!$K$2:$K$101,MATCH(LEFT(TRIM(E36&amp;""),FIND(" ",TRIM(E36&amp;""))-1),코드표!$J$2:$J$101,0))&amp;" "&amp;INDEX(코드표!$G$2:$G$101,MATCH(TRIM(RIGHT(SUBSTITUTE(TRIM(E36&amp;"")," ",REPT(" ",60)),60)),코드표!$F$2:$F$101,0)),"⚠"&amp;TRIM(E36&amp;""))),"⚠"&amp;TRIM(E36&amp;""))</f>
        <v/>
      </c>
      <c r="N36" s="10">
        <f>IFERROR(IF(TRIM(F36&amp;"")="","",IF(AND(ISNUMBER(FIND(" ",TRIM(F36&amp;""))),ISNUMBER(MATCH(LEFT(TRIM(F36&amp;""),FIND(" ",TRIM(F36&amp;""))-1),코드표!$J$2:$J$101,0)),ISNUMBER(MATCH(TRIM(RIGHT(SUBSTITUTE(TRIM(F36&amp;"")," ",REPT(" ",60)),60)),코드표!$F$2:$F$101,0))),INDEX(코드표!$K$2:$K$101,MATCH(LEFT(TRIM(F36&amp;""),FIND(" ",TRIM(F36&amp;""))-1),코드표!$J$2:$J$101,0))&amp;" "&amp;INDEX(코드표!$G$2:$G$101,MATCH(TRIM(RIGHT(SUBSTITUTE(TRIM(F36&amp;"")," ",REPT(" ",60)),60)),코드표!$F$2:$F$101,0)),"⚠"&amp;TRIM(F36&amp;""))),"⚠"&amp;TRIM(F36&amp;""))</f>
        <v/>
      </c>
      <c r="O36" s="10">
        <f>IFERROR(IF(TRIM(G36&amp;"")="","",IF(AND(ISNUMBER(FIND(" ",TRIM(G36&amp;""))),ISNUMBER(MATCH(LEFT(TRIM(G36&amp;""),FIND(" ",TRIM(G36&amp;""))-1),코드표!$J$2:$J$101,0)),ISNUMBER(MATCH(TRIM(RIGHT(SUBSTITUTE(TRIM(G36&amp;"")," ",REPT(" ",60)),60)),코드표!$F$2:$F$101,0))),INDEX(코드표!$K$2:$K$101,MATCH(LEFT(TRIM(G36&amp;""),FIND(" ",TRIM(G36&amp;""))-1),코드표!$J$2:$J$101,0))&amp;" "&amp;INDEX(코드표!$G$2:$G$101,MATCH(TRIM(RIGHT(SUBSTITUTE(TRIM(G36&amp;"")," ",REPT(" ",60)),60)),코드표!$F$2:$F$101,0)),"⚠"&amp;TRIM(G36&amp;""))),"⚠"&amp;TRIM(G36&amp;""))</f>
        <v/>
      </c>
      <c r="P36" s="10">
        <f>IFERROR(IF(TRIM(H36&amp;"")="","",IF(AND(ISNUMBER(FIND(" ",TRIM(H36&amp;""))),ISNUMBER(MATCH(LEFT(TRIM(H36&amp;""),FIND(" ",TRIM(H36&amp;""))-1),코드표!$J$2:$J$101,0)),ISNUMBER(MATCH(TRIM(RIGHT(SUBSTITUTE(TRIM(H36&amp;"")," ",REPT(" ",60)),60)),코드표!$F$2:$F$101,0))),INDEX(코드표!$K$2:$K$101,MATCH(LEFT(TRIM(H36&amp;""),FIND(" ",TRIM(H36&amp;""))-1),코드표!$J$2:$J$101,0))&amp;" "&amp;INDEX(코드표!$G$2:$G$101,MATCH(TRIM(RIGHT(SUBSTITUTE(TRIM(H36&amp;"")," ",REPT(" ",60)),60)),코드표!$F$2:$F$101,0)),"⚠"&amp;TRIM(H36&amp;""))),"⚠"&amp;TRIM(H36&amp;""))</f>
        <v/>
      </c>
      <c r="Q36" s="10">
        <f>IFERROR(IF(TRIM(I36&amp;"")="","",IF(AND(ISNUMBER(FIND(" ",TRIM(I36&amp;""))),ISNUMBER(MATCH(LEFT(TRIM(I36&amp;""),FIND(" ",TRIM(I36&amp;""))-1),코드표!$J$2:$J$101,0)),ISNUMBER(MATCH(TRIM(RIGHT(SUBSTITUTE(TRIM(I36&amp;"")," ",REPT(" ",60)),60)),코드표!$F$2:$F$101,0))),INDEX(코드표!$K$2:$K$101,MATCH(LEFT(TRIM(I36&amp;""),FIND(" ",TRIM(I36&amp;""))-1),코드표!$J$2:$J$101,0))&amp;" "&amp;INDEX(코드표!$G$2:$G$101,MATCH(TRIM(RIGHT(SUBSTITUTE(TRIM(I36&amp;"")," ",REPT(" ",60)),60)),코드표!$F$2:$F$101,0)),"⚠"&amp;TRIM(I36&amp;""))),"⚠"&amp;TRIM(I36&amp;""))</f>
        <v/>
      </c>
      <c r="R36" s="10">
        <f>IFERROR(IF(TRIM(J36&amp;"")="","",IF(AND(ISNUMBER(FIND(" ",TRIM(J36&amp;""))),ISNUMBER(MATCH(LEFT(TRIM(J36&amp;""),FIND(" ",TRIM(J36&amp;""))-1),코드표!$J$2:$J$101,0)),ISNUMBER(MATCH(TRIM(RIGHT(SUBSTITUTE(TRIM(J36&amp;"")," ",REPT(" ",60)),60)),코드표!$F$2:$F$101,0))),INDEX(코드표!$K$2:$K$101,MATCH(LEFT(TRIM(J36&amp;""),FIND(" ",TRIM(J36&amp;""))-1),코드표!$J$2:$J$101,0))&amp;" "&amp;INDEX(코드표!$G$2:$G$101,MATCH(TRIM(RIGHT(SUBSTITUTE(TRIM(J36&amp;"")," ",REPT(" ",60)),60)),코드표!$F$2:$F$101,0)),"⚠"&amp;TRIM(J36&amp;""))),"⚠"&amp;TRIM(J36&amp;""))</f>
        <v/>
      </c>
      <c r="S36" s="11">
        <f>IF(K36="","",IFERROR(IF(AND(ROUND((VALUE(K36&amp;"")-INT(VALUE(K36&amp;"")))*100,0)&gt;=1,ROUND((VALUE(K36&amp;"")-INT(VALUE(K36&amp;"")))*100,0)&lt;=12,INT(VALUE(K36&amp;""))&gt;=1900),DATE(INT(VALUE(K36&amp;"")),ROUND((VALUE(K36&amp;"")-INT(VALUE(K36&amp;"")))*100,0),1),K36&amp;""),K36&amp;""))</f>
        <v/>
      </c>
      <c r="T36" s="10">
        <f>COUNTIF(M36:R36,"⚠*")</f>
        <v/>
      </c>
    </row>
    <row r="37"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M37" s="10">
        <f>IFERROR(IF(TRIM(E37&amp;"")="","",IF(AND(ISNUMBER(FIND(" ",TRIM(E37&amp;""))),ISNUMBER(MATCH(LEFT(TRIM(E37&amp;""),FIND(" ",TRIM(E37&amp;""))-1),코드표!$J$2:$J$101,0)),ISNUMBER(MATCH(TRIM(RIGHT(SUBSTITUTE(TRIM(E37&amp;"")," ",REPT(" ",60)),60)),코드표!$F$2:$F$101,0))),INDEX(코드표!$K$2:$K$101,MATCH(LEFT(TRIM(E37&amp;""),FIND(" ",TRIM(E37&amp;""))-1),코드표!$J$2:$J$101,0))&amp;" "&amp;INDEX(코드표!$G$2:$G$101,MATCH(TRIM(RIGHT(SUBSTITUTE(TRIM(E37&amp;"")," ",REPT(" ",60)),60)),코드표!$F$2:$F$101,0)),"⚠"&amp;TRIM(E37&amp;""))),"⚠"&amp;TRIM(E37&amp;""))</f>
        <v/>
      </c>
      <c r="N37" s="10">
        <f>IFERROR(IF(TRIM(F37&amp;"")="","",IF(AND(ISNUMBER(FIND(" ",TRIM(F37&amp;""))),ISNUMBER(MATCH(LEFT(TRIM(F37&amp;""),FIND(" ",TRIM(F37&amp;""))-1),코드표!$J$2:$J$101,0)),ISNUMBER(MATCH(TRIM(RIGHT(SUBSTITUTE(TRIM(F37&amp;"")," ",REPT(" ",60)),60)),코드표!$F$2:$F$101,0))),INDEX(코드표!$K$2:$K$101,MATCH(LEFT(TRIM(F37&amp;""),FIND(" ",TRIM(F37&amp;""))-1),코드표!$J$2:$J$101,0))&amp;" "&amp;INDEX(코드표!$G$2:$G$101,MATCH(TRIM(RIGHT(SUBSTITUTE(TRIM(F37&amp;"")," ",REPT(" ",60)),60)),코드표!$F$2:$F$101,0)),"⚠"&amp;TRIM(F37&amp;""))),"⚠"&amp;TRIM(F37&amp;""))</f>
        <v/>
      </c>
      <c r="O37" s="10">
        <f>IFERROR(IF(TRIM(G37&amp;"")="","",IF(AND(ISNUMBER(FIND(" ",TRIM(G37&amp;""))),ISNUMBER(MATCH(LEFT(TRIM(G37&amp;""),FIND(" ",TRIM(G37&amp;""))-1),코드표!$J$2:$J$101,0)),ISNUMBER(MATCH(TRIM(RIGHT(SUBSTITUTE(TRIM(G37&amp;"")," ",REPT(" ",60)),60)),코드표!$F$2:$F$101,0))),INDEX(코드표!$K$2:$K$101,MATCH(LEFT(TRIM(G37&amp;""),FIND(" ",TRIM(G37&amp;""))-1),코드표!$J$2:$J$101,0))&amp;" "&amp;INDEX(코드표!$G$2:$G$101,MATCH(TRIM(RIGHT(SUBSTITUTE(TRIM(G37&amp;"")," ",REPT(" ",60)),60)),코드표!$F$2:$F$101,0)),"⚠"&amp;TRIM(G37&amp;""))),"⚠"&amp;TRIM(G37&amp;""))</f>
        <v/>
      </c>
      <c r="P37" s="10">
        <f>IFERROR(IF(TRIM(H37&amp;"")="","",IF(AND(ISNUMBER(FIND(" ",TRIM(H37&amp;""))),ISNUMBER(MATCH(LEFT(TRIM(H37&amp;""),FIND(" ",TRIM(H37&amp;""))-1),코드표!$J$2:$J$101,0)),ISNUMBER(MATCH(TRIM(RIGHT(SUBSTITUTE(TRIM(H37&amp;"")," ",REPT(" ",60)),60)),코드표!$F$2:$F$101,0))),INDEX(코드표!$K$2:$K$101,MATCH(LEFT(TRIM(H37&amp;""),FIND(" ",TRIM(H37&amp;""))-1),코드표!$J$2:$J$101,0))&amp;" "&amp;INDEX(코드표!$G$2:$G$101,MATCH(TRIM(RIGHT(SUBSTITUTE(TRIM(H37&amp;"")," ",REPT(" ",60)),60)),코드표!$F$2:$F$101,0)),"⚠"&amp;TRIM(H37&amp;""))),"⚠"&amp;TRIM(H37&amp;""))</f>
        <v/>
      </c>
      <c r="Q37" s="10">
        <f>IFERROR(IF(TRIM(I37&amp;"")="","",IF(AND(ISNUMBER(FIND(" ",TRIM(I37&amp;""))),ISNUMBER(MATCH(LEFT(TRIM(I37&amp;""),FIND(" ",TRIM(I37&amp;""))-1),코드표!$J$2:$J$101,0)),ISNUMBER(MATCH(TRIM(RIGHT(SUBSTITUTE(TRIM(I37&amp;"")," ",REPT(" ",60)),60)),코드표!$F$2:$F$101,0))),INDEX(코드표!$K$2:$K$101,MATCH(LEFT(TRIM(I37&amp;""),FIND(" ",TRIM(I37&amp;""))-1),코드표!$J$2:$J$101,0))&amp;" "&amp;INDEX(코드표!$G$2:$G$101,MATCH(TRIM(RIGHT(SUBSTITUTE(TRIM(I37&amp;"")," ",REPT(" ",60)),60)),코드표!$F$2:$F$101,0)),"⚠"&amp;TRIM(I37&amp;""))),"⚠"&amp;TRIM(I37&amp;""))</f>
        <v/>
      </c>
      <c r="R37" s="10">
        <f>IFERROR(IF(TRIM(J37&amp;"")="","",IF(AND(ISNUMBER(FIND(" ",TRIM(J37&amp;""))),ISNUMBER(MATCH(LEFT(TRIM(J37&amp;""),FIND(" ",TRIM(J37&amp;""))-1),코드표!$J$2:$J$101,0)),ISNUMBER(MATCH(TRIM(RIGHT(SUBSTITUTE(TRIM(J37&amp;"")," ",REPT(" ",60)),60)),코드표!$F$2:$F$101,0))),INDEX(코드표!$K$2:$K$101,MATCH(LEFT(TRIM(J37&amp;""),FIND(" ",TRIM(J37&amp;""))-1),코드표!$J$2:$J$101,0))&amp;" "&amp;INDEX(코드표!$G$2:$G$101,MATCH(TRIM(RIGHT(SUBSTITUTE(TRIM(J37&amp;"")," ",REPT(" ",60)),60)),코드표!$F$2:$F$101,0)),"⚠"&amp;TRIM(J37&amp;""))),"⚠"&amp;TRIM(J37&amp;""))</f>
        <v/>
      </c>
      <c r="S37" s="11">
        <f>IF(K37="","",IFERROR(IF(AND(ROUND((VALUE(K37&amp;"")-INT(VALUE(K37&amp;"")))*100,0)&gt;=1,ROUND((VALUE(K37&amp;"")-INT(VALUE(K37&amp;"")))*100,0)&lt;=12,INT(VALUE(K37&amp;""))&gt;=1900),DATE(INT(VALUE(K37&amp;"")),ROUND((VALUE(K37&amp;"")-INT(VALUE(K37&amp;"")))*100,0),1),K37&amp;""),K37&amp;""))</f>
        <v/>
      </c>
      <c r="T37" s="10">
        <f>COUNTIF(M37:R37,"⚠*")</f>
        <v/>
      </c>
    </row>
    <row r="38"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M38" s="10">
        <f>IFERROR(IF(TRIM(E38&amp;"")="","",IF(AND(ISNUMBER(FIND(" ",TRIM(E38&amp;""))),ISNUMBER(MATCH(LEFT(TRIM(E38&amp;""),FIND(" ",TRIM(E38&amp;""))-1),코드표!$J$2:$J$101,0)),ISNUMBER(MATCH(TRIM(RIGHT(SUBSTITUTE(TRIM(E38&amp;"")," ",REPT(" ",60)),60)),코드표!$F$2:$F$101,0))),INDEX(코드표!$K$2:$K$101,MATCH(LEFT(TRIM(E38&amp;""),FIND(" ",TRIM(E38&amp;""))-1),코드표!$J$2:$J$101,0))&amp;" "&amp;INDEX(코드표!$G$2:$G$101,MATCH(TRIM(RIGHT(SUBSTITUTE(TRIM(E38&amp;"")," ",REPT(" ",60)),60)),코드표!$F$2:$F$101,0)),"⚠"&amp;TRIM(E38&amp;""))),"⚠"&amp;TRIM(E38&amp;""))</f>
        <v/>
      </c>
      <c r="N38" s="10">
        <f>IFERROR(IF(TRIM(F38&amp;"")="","",IF(AND(ISNUMBER(FIND(" ",TRIM(F38&amp;""))),ISNUMBER(MATCH(LEFT(TRIM(F38&amp;""),FIND(" ",TRIM(F38&amp;""))-1),코드표!$J$2:$J$101,0)),ISNUMBER(MATCH(TRIM(RIGHT(SUBSTITUTE(TRIM(F38&amp;"")," ",REPT(" ",60)),60)),코드표!$F$2:$F$101,0))),INDEX(코드표!$K$2:$K$101,MATCH(LEFT(TRIM(F38&amp;""),FIND(" ",TRIM(F38&amp;""))-1),코드표!$J$2:$J$101,0))&amp;" "&amp;INDEX(코드표!$G$2:$G$101,MATCH(TRIM(RIGHT(SUBSTITUTE(TRIM(F38&amp;"")," ",REPT(" ",60)),60)),코드표!$F$2:$F$101,0)),"⚠"&amp;TRIM(F38&amp;""))),"⚠"&amp;TRIM(F38&amp;""))</f>
        <v/>
      </c>
      <c r="O38" s="10">
        <f>IFERROR(IF(TRIM(G38&amp;"")="","",IF(AND(ISNUMBER(FIND(" ",TRIM(G38&amp;""))),ISNUMBER(MATCH(LEFT(TRIM(G38&amp;""),FIND(" ",TRIM(G38&amp;""))-1),코드표!$J$2:$J$101,0)),ISNUMBER(MATCH(TRIM(RIGHT(SUBSTITUTE(TRIM(G38&amp;"")," ",REPT(" ",60)),60)),코드표!$F$2:$F$101,0))),INDEX(코드표!$K$2:$K$101,MATCH(LEFT(TRIM(G38&amp;""),FIND(" ",TRIM(G38&amp;""))-1),코드표!$J$2:$J$101,0))&amp;" "&amp;INDEX(코드표!$G$2:$G$101,MATCH(TRIM(RIGHT(SUBSTITUTE(TRIM(G38&amp;"")," ",REPT(" ",60)),60)),코드표!$F$2:$F$101,0)),"⚠"&amp;TRIM(G38&amp;""))),"⚠"&amp;TRIM(G38&amp;""))</f>
        <v/>
      </c>
      <c r="P38" s="10">
        <f>IFERROR(IF(TRIM(H38&amp;"")="","",IF(AND(ISNUMBER(FIND(" ",TRIM(H38&amp;""))),ISNUMBER(MATCH(LEFT(TRIM(H38&amp;""),FIND(" ",TRIM(H38&amp;""))-1),코드표!$J$2:$J$101,0)),ISNUMBER(MATCH(TRIM(RIGHT(SUBSTITUTE(TRIM(H38&amp;"")," ",REPT(" ",60)),60)),코드표!$F$2:$F$101,0))),INDEX(코드표!$K$2:$K$101,MATCH(LEFT(TRIM(H38&amp;""),FIND(" ",TRIM(H38&amp;""))-1),코드표!$J$2:$J$101,0))&amp;" "&amp;INDEX(코드표!$G$2:$G$101,MATCH(TRIM(RIGHT(SUBSTITUTE(TRIM(H38&amp;"")," ",REPT(" ",60)),60)),코드표!$F$2:$F$101,0)),"⚠"&amp;TRIM(H38&amp;""))),"⚠"&amp;TRIM(H38&amp;""))</f>
        <v/>
      </c>
      <c r="Q38" s="10">
        <f>IFERROR(IF(TRIM(I38&amp;"")="","",IF(AND(ISNUMBER(FIND(" ",TRIM(I38&amp;""))),ISNUMBER(MATCH(LEFT(TRIM(I38&amp;""),FIND(" ",TRIM(I38&amp;""))-1),코드표!$J$2:$J$101,0)),ISNUMBER(MATCH(TRIM(RIGHT(SUBSTITUTE(TRIM(I38&amp;"")," ",REPT(" ",60)),60)),코드표!$F$2:$F$101,0))),INDEX(코드표!$K$2:$K$101,MATCH(LEFT(TRIM(I38&amp;""),FIND(" ",TRIM(I38&amp;""))-1),코드표!$J$2:$J$101,0))&amp;" "&amp;INDEX(코드표!$G$2:$G$101,MATCH(TRIM(RIGHT(SUBSTITUTE(TRIM(I38&amp;"")," ",REPT(" ",60)),60)),코드표!$F$2:$F$101,0)),"⚠"&amp;TRIM(I38&amp;""))),"⚠"&amp;TRIM(I38&amp;""))</f>
        <v/>
      </c>
      <c r="R38" s="10">
        <f>IFERROR(IF(TRIM(J38&amp;"")="","",IF(AND(ISNUMBER(FIND(" ",TRIM(J38&amp;""))),ISNUMBER(MATCH(LEFT(TRIM(J38&amp;""),FIND(" ",TRIM(J38&amp;""))-1),코드표!$J$2:$J$101,0)),ISNUMBER(MATCH(TRIM(RIGHT(SUBSTITUTE(TRIM(J38&amp;"")," ",REPT(" ",60)),60)),코드표!$F$2:$F$101,0))),INDEX(코드표!$K$2:$K$101,MATCH(LEFT(TRIM(J38&amp;""),FIND(" ",TRIM(J38&amp;""))-1),코드표!$J$2:$J$101,0))&amp;" "&amp;INDEX(코드표!$G$2:$G$101,MATCH(TRIM(RIGHT(SUBSTITUTE(TRIM(J38&amp;"")," ",REPT(" ",60)),60)),코드표!$F$2:$F$101,0)),"⚠"&amp;TRIM(J38&amp;""))),"⚠"&amp;TRIM(J38&amp;""))</f>
        <v/>
      </c>
      <c r="S38" s="11">
        <f>IF(K38="","",IFERROR(IF(AND(ROUND((VALUE(K38&amp;"")-INT(VALUE(K38&amp;"")))*100,0)&gt;=1,ROUND((VALUE(K38&amp;"")-INT(VALUE(K38&amp;"")))*100,0)&lt;=12,INT(VALUE(K38&amp;""))&gt;=1900),DATE(INT(VALUE(K38&amp;"")),ROUND((VALUE(K38&amp;"")-INT(VALUE(K38&amp;"")))*100,0),1),K38&amp;""),K38&amp;""))</f>
        <v/>
      </c>
      <c r="T38" s="10">
        <f>COUNTIF(M38:R38,"⚠*")</f>
        <v/>
      </c>
    </row>
    <row r="39"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M39" s="10">
        <f>IFERROR(IF(TRIM(E39&amp;"")="","",IF(AND(ISNUMBER(FIND(" ",TRIM(E39&amp;""))),ISNUMBER(MATCH(LEFT(TRIM(E39&amp;""),FIND(" ",TRIM(E39&amp;""))-1),코드표!$J$2:$J$101,0)),ISNUMBER(MATCH(TRIM(RIGHT(SUBSTITUTE(TRIM(E39&amp;"")," ",REPT(" ",60)),60)),코드표!$F$2:$F$101,0))),INDEX(코드표!$K$2:$K$101,MATCH(LEFT(TRIM(E39&amp;""),FIND(" ",TRIM(E39&amp;""))-1),코드표!$J$2:$J$101,0))&amp;" "&amp;INDEX(코드표!$G$2:$G$101,MATCH(TRIM(RIGHT(SUBSTITUTE(TRIM(E39&amp;"")," ",REPT(" ",60)),60)),코드표!$F$2:$F$101,0)),"⚠"&amp;TRIM(E39&amp;""))),"⚠"&amp;TRIM(E39&amp;""))</f>
        <v/>
      </c>
      <c r="N39" s="10">
        <f>IFERROR(IF(TRIM(F39&amp;"")="","",IF(AND(ISNUMBER(FIND(" ",TRIM(F39&amp;""))),ISNUMBER(MATCH(LEFT(TRIM(F39&amp;""),FIND(" ",TRIM(F39&amp;""))-1),코드표!$J$2:$J$101,0)),ISNUMBER(MATCH(TRIM(RIGHT(SUBSTITUTE(TRIM(F39&amp;"")," ",REPT(" ",60)),60)),코드표!$F$2:$F$101,0))),INDEX(코드표!$K$2:$K$101,MATCH(LEFT(TRIM(F39&amp;""),FIND(" ",TRIM(F39&amp;""))-1),코드표!$J$2:$J$101,0))&amp;" "&amp;INDEX(코드표!$G$2:$G$101,MATCH(TRIM(RIGHT(SUBSTITUTE(TRIM(F39&amp;"")," ",REPT(" ",60)),60)),코드표!$F$2:$F$101,0)),"⚠"&amp;TRIM(F39&amp;""))),"⚠"&amp;TRIM(F39&amp;""))</f>
        <v/>
      </c>
      <c r="O39" s="10">
        <f>IFERROR(IF(TRIM(G39&amp;"")="","",IF(AND(ISNUMBER(FIND(" ",TRIM(G39&amp;""))),ISNUMBER(MATCH(LEFT(TRIM(G39&amp;""),FIND(" ",TRIM(G39&amp;""))-1),코드표!$J$2:$J$101,0)),ISNUMBER(MATCH(TRIM(RIGHT(SUBSTITUTE(TRIM(G39&amp;"")," ",REPT(" ",60)),60)),코드표!$F$2:$F$101,0))),INDEX(코드표!$K$2:$K$101,MATCH(LEFT(TRIM(G39&amp;""),FIND(" ",TRIM(G39&amp;""))-1),코드표!$J$2:$J$101,0))&amp;" "&amp;INDEX(코드표!$G$2:$G$101,MATCH(TRIM(RIGHT(SUBSTITUTE(TRIM(G39&amp;"")," ",REPT(" ",60)),60)),코드표!$F$2:$F$101,0)),"⚠"&amp;TRIM(G39&amp;""))),"⚠"&amp;TRIM(G39&amp;""))</f>
        <v/>
      </c>
      <c r="P39" s="10">
        <f>IFERROR(IF(TRIM(H39&amp;"")="","",IF(AND(ISNUMBER(FIND(" ",TRIM(H39&amp;""))),ISNUMBER(MATCH(LEFT(TRIM(H39&amp;""),FIND(" ",TRIM(H39&amp;""))-1),코드표!$J$2:$J$101,0)),ISNUMBER(MATCH(TRIM(RIGHT(SUBSTITUTE(TRIM(H39&amp;"")," ",REPT(" ",60)),60)),코드표!$F$2:$F$101,0))),INDEX(코드표!$K$2:$K$101,MATCH(LEFT(TRIM(H39&amp;""),FIND(" ",TRIM(H39&amp;""))-1),코드표!$J$2:$J$101,0))&amp;" "&amp;INDEX(코드표!$G$2:$G$101,MATCH(TRIM(RIGHT(SUBSTITUTE(TRIM(H39&amp;"")," ",REPT(" ",60)),60)),코드표!$F$2:$F$101,0)),"⚠"&amp;TRIM(H39&amp;""))),"⚠"&amp;TRIM(H39&amp;""))</f>
        <v/>
      </c>
      <c r="Q39" s="10">
        <f>IFERROR(IF(TRIM(I39&amp;"")="","",IF(AND(ISNUMBER(FIND(" ",TRIM(I39&amp;""))),ISNUMBER(MATCH(LEFT(TRIM(I39&amp;""),FIND(" ",TRIM(I39&amp;""))-1),코드표!$J$2:$J$101,0)),ISNUMBER(MATCH(TRIM(RIGHT(SUBSTITUTE(TRIM(I39&amp;"")," ",REPT(" ",60)),60)),코드표!$F$2:$F$101,0))),INDEX(코드표!$K$2:$K$101,MATCH(LEFT(TRIM(I39&amp;""),FIND(" ",TRIM(I39&amp;""))-1),코드표!$J$2:$J$101,0))&amp;" "&amp;INDEX(코드표!$G$2:$G$101,MATCH(TRIM(RIGHT(SUBSTITUTE(TRIM(I39&amp;"")," ",REPT(" ",60)),60)),코드표!$F$2:$F$101,0)),"⚠"&amp;TRIM(I39&amp;""))),"⚠"&amp;TRIM(I39&amp;""))</f>
        <v/>
      </c>
      <c r="R39" s="10">
        <f>IFERROR(IF(TRIM(J39&amp;"")="","",IF(AND(ISNUMBER(FIND(" ",TRIM(J39&amp;""))),ISNUMBER(MATCH(LEFT(TRIM(J39&amp;""),FIND(" ",TRIM(J39&amp;""))-1),코드표!$J$2:$J$101,0)),ISNUMBER(MATCH(TRIM(RIGHT(SUBSTITUTE(TRIM(J39&amp;"")," ",REPT(" ",60)),60)),코드표!$F$2:$F$101,0))),INDEX(코드표!$K$2:$K$101,MATCH(LEFT(TRIM(J39&amp;""),FIND(" ",TRIM(J39&amp;""))-1),코드표!$J$2:$J$101,0))&amp;" "&amp;INDEX(코드표!$G$2:$G$101,MATCH(TRIM(RIGHT(SUBSTITUTE(TRIM(J39&amp;"")," ",REPT(" ",60)),60)),코드표!$F$2:$F$101,0)),"⚠"&amp;TRIM(J39&amp;""))),"⚠"&amp;TRIM(J39&amp;""))</f>
        <v/>
      </c>
      <c r="S39" s="11">
        <f>IF(K39="","",IFERROR(IF(AND(ROUND((VALUE(K39&amp;"")-INT(VALUE(K39&amp;"")))*100,0)&gt;=1,ROUND((VALUE(K39&amp;"")-INT(VALUE(K39&amp;"")))*100,0)&lt;=12,INT(VALUE(K39&amp;""))&gt;=1900),DATE(INT(VALUE(K39&amp;"")),ROUND((VALUE(K39&amp;"")-INT(VALUE(K39&amp;"")))*100,0),1),K39&amp;""),K39&amp;""))</f>
        <v/>
      </c>
      <c r="T39" s="10">
        <f>COUNTIF(M39:R39,"⚠*")</f>
        <v/>
      </c>
    </row>
    <row r="40"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M40" s="10">
        <f>IFERROR(IF(TRIM(E40&amp;"")="","",IF(AND(ISNUMBER(FIND(" ",TRIM(E40&amp;""))),ISNUMBER(MATCH(LEFT(TRIM(E40&amp;""),FIND(" ",TRIM(E40&amp;""))-1),코드표!$J$2:$J$101,0)),ISNUMBER(MATCH(TRIM(RIGHT(SUBSTITUTE(TRIM(E40&amp;"")," ",REPT(" ",60)),60)),코드표!$F$2:$F$101,0))),INDEX(코드표!$K$2:$K$101,MATCH(LEFT(TRIM(E40&amp;""),FIND(" ",TRIM(E40&amp;""))-1),코드표!$J$2:$J$101,0))&amp;" "&amp;INDEX(코드표!$G$2:$G$101,MATCH(TRIM(RIGHT(SUBSTITUTE(TRIM(E40&amp;"")," ",REPT(" ",60)),60)),코드표!$F$2:$F$101,0)),"⚠"&amp;TRIM(E40&amp;""))),"⚠"&amp;TRIM(E40&amp;""))</f>
        <v/>
      </c>
      <c r="N40" s="10">
        <f>IFERROR(IF(TRIM(F40&amp;"")="","",IF(AND(ISNUMBER(FIND(" ",TRIM(F40&amp;""))),ISNUMBER(MATCH(LEFT(TRIM(F40&amp;""),FIND(" ",TRIM(F40&amp;""))-1),코드표!$J$2:$J$101,0)),ISNUMBER(MATCH(TRIM(RIGHT(SUBSTITUTE(TRIM(F40&amp;"")," ",REPT(" ",60)),60)),코드표!$F$2:$F$101,0))),INDEX(코드표!$K$2:$K$101,MATCH(LEFT(TRIM(F40&amp;""),FIND(" ",TRIM(F40&amp;""))-1),코드표!$J$2:$J$101,0))&amp;" "&amp;INDEX(코드표!$G$2:$G$101,MATCH(TRIM(RIGHT(SUBSTITUTE(TRIM(F40&amp;"")," ",REPT(" ",60)),60)),코드표!$F$2:$F$101,0)),"⚠"&amp;TRIM(F40&amp;""))),"⚠"&amp;TRIM(F40&amp;""))</f>
        <v/>
      </c>
      <c r="O40" s="10">
        <f>IFERROR(IF(TRIM(G40&amp;"")="","",IF(AND(ISNUMBER(FIND(" ",TRIM(G40&amp;""))),ISNUMBER(MATCH(LEFT(TRIM(G40&amp;""),FIND(" ",TRIM(G40&amp;""))-1),코드표!$J$2:$J$101,0)),ISNUMBER(MATCH(TRIM(RIGHT(SUBSTITUTE(TRIM(G40&amp;"")," ",REPT(" ",60)),60)),코드표!$F$2:$F$101,0))),INDEX(코드표!$K$2:$K$101,MATCH(LEFT(TRIM(G40&amp;""),FIND(" ",TRIM(G40&amp;""))-1),코드표!$J$2:$J$101,0))&amp;" "&amp;INDEX(코드표!$G$2:$G$101,MATCH(TRIM(RIGHT(SUBSTITUTE(TRIM(G40&amp;"")," ",REPT(" ",60)),60)),코드표!$F$2:$F$101,0)),"⚠"&amp;TRIM(G40&amp;""))),"⚠"&amp;TRIM(G40&amp;""))</f>
        <v/>
      </c>
      <c r="P40" s="10">
        <f>IFERROR(IF(TRIM(H40&amp;"")="","",IF(AND(ISNUMBER(FIND(" ",TRIM(H40&amp;""))),ISNUMBER(MATCH(LEFT(TRIM(H40&amp;""),FIND(" ",TRIM(H40&amp;""))-1),코드표!$J$2:$J$101,0)),ISNUMBER(MATCH(TRIM(RIGHT(SUBSTITUTE(TRIM(H40&amp;"")," ",REPT(" ",60)),60)),코드표!$F$2:$F$101,0))),INDEX(코드표!$K$2:$K$101,MATCH(LEFT(TRIM(H40&amp;""),FIND(" ",TRIM(H40&amp;""))-1),코드표!$J$2:$J$101,0))&amp;" "&amp;INDEX(코드표!$G$2:$G$101,MATCH(TRIM(RIGHT(SUBSTITUTE(TRIM(H40&amp;"")," ",REPT(" ",60)),60)),코드표!$F$2:$F$101,0)),"⚠"&amp;TRIM(H40&amp;""))),"⚠"&amp;TRIM(H40&amp;""))</f>
        <v/>
      </c>
      <c r="Q40" s="10">
        <f>IFERROR(IF(TRIM(I40&amp;"")="","",IF(AND(ISNUMBER(FIND(" ",TRIM(I40&amp;""))),ISNUMBER(MATCH(LEFT(TRIM(I40&amp;""),FIND(" ",TRIM(I40&amp;""))-1),코드표!$J$2:$J$101,0)),ISNUMBER(MATCH(TRIM(RIGHT(SUBSTITUTE(TRIM(I40&amp;"")," ",REPT(" ",60)),60)),코드표!$F$2:$F$101,0))),INDEX(코드표!$K$2:$K$101,MATCH(LEFT(TRIM(I40&amp;""),FIND(" ",TRIM(I40&amp;""))-1),코드표!$J$2:$J$101,0))&amp;" "&amp;INDEX(코드표!$G$2:$G$101,MATCH(TRIM(RIGHT(SUBSTITUTE(TRIM(I40&amp;"")," ",REPT(" ",60)),60)),코드표!$F$2:$F$101,0)),"⚠"&amp;TRIM(I40&amp;""))),"⚠"&amp;TRIM(I40&amp;""))</f>
        <v/>
      </c>
      <c r="R40" s="10">
        <f>IFERROR(IF(TRIM(J40&amp;"")="","",IF(AND(ISNUMBER(FIND(" ",TRIM(J40&amp;""))),ISNUMBER(MATCH(LEFT(TRIM(J40&amp;""),FIND(" ",TRIM(J40&amp;""))-1),코드표!$J$2:$J$101,0)),ISNUMBER(MATCH(TRIM(RIGHT(SUBSTITUTE(TRIM(J40&amp;"")," ",REPT(" ",60)),60)),코드표!$F$2:$F$101,0))),INDEX(코드표!$K$2:$K$101,MATCH(LEFT(TRIM(J40&amp;""),FIND(" ",TRIM(J40&amp;""))-1),코드표!$J$2:$J$101,0))&amp;" "&amp;INDEX(코드표!$G$2:$G$101,MATCH(TRIM(RIGHT(SUBSTITUTE(TRIM(J40&amp;"")," ",REPT(" ",60)),60)),코드표!$F$2:$F$101,0)),"⚠"&amp;TRIM(J40&amp;""))),"⚠"&amp;TRIM(J40&amp;""))</f>
        <v/>
      </c>
      <c r="S40" s="11">
        <f>IF(K40="","",IFERROR(IF(AND(ROUND((VALUE(K40&amp;"")-INT(VALUE(K40&amp;"")))*100,0)&gt;=1,ROUND((VALUE(K40&amp;"")-INT(VALUE(K40&amp;"")))*100,0)&lt;=12,INT(VALUE(K40&amp;""))&gt;=1900),DATE(INT(VALUE(K40&amp;"")),ROUND((VALUE(K40&amp;"")-INT(VALUE(K40&amp;"")))*100,0),1),K40&amp;""),K40&amp;""))</f>
        <v/>
      </c>
      <c r="T40" s="10">
        <f>COUNTIF(M40:R40,"⚠*")</f>
        <v/>
      </c>
    </row>
    <row r="41"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M41" s="10">
        <f>IFERROR(IF(TRIM(E41&amp;"")="","",IF(AND(ISNUMBER(FIND(" ",TRIM(E41&amp;""))),ISNUMBER(MATCH(LEFT(TRIM(E41&amp;""),FIND(" ",TRIM(E41&amp;""))-1),코드표!$J$2:$J$101,0)),ISNUMBER(MATCH(TRIM(RIGHT(SUBSTITUTE(TRIM(E41&amp;"")," ",REPT(" ",60)),60)),코드표!$F$2:$F$101,0))),INDEX(코드표!$K$2:$K$101,MATCH(LEFT(TRIM(E41&amp;""),FIND(" ",TRIM(E41&amp;""))-1),코드표!$J$2:$J$101,0))&amp;" "&amp;INDEX(코드표!$G$2:$G$101,MATCH(TRIM(RIGHT(SUBSTITUTE(TRIM(E41&amp;"")," ",REPT(" ",60)),60)),코드표!$F$2:$F$101,0)),"⚠"&amp;TRIM(E41&amp;""))),"⚠"&amp;TRIM(E41&amp;""))</f>
        <v/>
      </c>
      <c r="N41" s="10">
        <f>IFERROR(IF(TRIM(F41&amp;"")="","",IF(AND(ISNUMBER(FIND(" ",TRIM(F41&amp;""))),ISNUMBER(MATCH(LEFT(TRIM(F41&amp;""),FIND(" ",TRIM(F41&amp;""))-1),코드표!$J$2:$J$101,0)),ISNUMBER(MATCH(TRIM(RIGHT(SUBSTITUTE(TRIM(F41&amp;"")," ",REPT(" ",60)),60)),코드표!$F$2:$F$101,0))),INDEX(코드표!$K$2:$K$101,MATCH(LEFT(TRIM(F41&amp;""),FIND(" ",TRIM(F41&amp;""))-1),코드표!$J$2:$J$101,0))&amp;" "&amp;INDEX(코드표!$G$2:$G$101,MATCH(TRIM(RIGHT(SUBSTITUTE(TRIM(F41&amp;"")," ",REPT(" ",60)),60)),코드표!$F$2:$F$101,0)),"⚠"&amp;TRIM(F41&amp;""))),"⚠"&amp;TRIM(F41&amp;""))</f>
        <v/>
      </c>
      <c r="O41" s="10">
        <f>IFERROR(IF(TRIM(G41&amp;"")="","",IF(AND(ISNUMBER(FIND(" ",TRIM(G41&amp;""))),ISNUMBER(MATCH(LEFT(TRIM(G41&amp;""),FIND(" ",TRIM(G41&amp;""))-1),코드표!$J$2:$J$101,0)),ISNUMBER(MATCH(TRIM(RIGHT(SUBSTITUTE(TRIM(G41&amp;"")," ",REPT(" ",60)),60)),코드표!$F$2:$F$101,0))),INDEX(코드표!$K$2:$K$101,MATCH(LEFT(TRIM(G41&amp;""),FIND(" ",TRIM(G41&amp;""))-1),코드표!$J$2:$J$101,0))&amp;" "&amp;INDEX(코드표!$G$2:$G$101,MATCH(TRIM(RIGHT(SUBSTITUTE(TRIM(G41&amp;"")," ",REPT(" ",60)),60)),코드표!$F$2:$F$101,0)),"⚠"&amp;TRIM(G41&amp;""))),"⚠"&amp;TRIM(G41&amp;""))</f>
        <v/>
      </c>
      <c r="P41" s="10">
        <f>IFERROR(IF(TRIM(H41&amp;"")="","",IF(AND(ISNUMBER(FIND(" ",TRIM(H41&amp;""))),ISNUMBER(MATCH(LEFT(TRIM(H41&amp;""),FIND(" ",TRIM(H41&amp;""))-1),코드표!$J$2:$J$101,0)),ISNUMBER(MATCH(TRIM(RIGHT(SUBSTITUTE(TRIM(H41&amp;"")," ",REPT(" ",60)),60)),코드표!$F$2:$F$101,0))),INDEX(코드표!$K$2:$K$101,MATCH(LEFT(TRIM(H41&amp;""),FIND(" ",TRIM(H41&amp;""))-1),코드표!$J$2:$J$101,0))&amp;" "&amp;INDEX(코드표!$G$2:$G$101,MATCH(TRIM(RIGHT(SUBSTITUTE(TRIM(H41&amp;"")," ",REPT(" ",60)),60)),코드표!$F$2:$F$101,0)),"⚠"&amp;TRIM(H41&amp;""))),"⚠"&amp;TRIM(H41&amp;""))</f>
        <v/>
      </c>
      <c r="Q41" s="10">
        <f>IFERROR(IF(TRIM(I41&amp;"")="","",IF(AND(ISNUMBER(FIND(" ",TRIM(I41&amp;""))),ISNUMBER(MATCH(LEFT(TRIM(I41&amp;""),FIND(" ",TRIM(I41&amp;""))-1),코드표!$J$2:$J$101,0)),ISNUMBER(MATCH(TRIM(RIGHT(SUBSTITUTE(TRIM(I41&amp;"")," ",REPT(" ",60)),60)),코드표!$F$2:$F$101,0))),INDEX(코드표!$K$2:$K$101,MATCH(LEFT(TRIM(I41&amp;""),FIND(" ",TRIM(I41&amp;""))-1),코드표!$J$2:$J$101,0))&amp;" "&amp;INDEX(코드표!$G$2:$G$101,MATCH(TRIM(RIGHT(SUBSTITUTE(TRIM(I41&amp;"")," ",REPT(" ",60)),60)),코드표!$F$2:$F$101,0)),"⚠"&amp;TRIM(I41&amp;""))),"⚠"&amp;TRIM(I41&amp;""))</f>
        <v/>
      </c>
      <c r="R41" s="10">
        <f>IFERROR(IF(TRIM(J41&amp;"")="","",IF(AND(ISNUMBER(FIND(" ",TRIM(J41&amp;""))),ISNUMBER(MATCH(LEFT(TRIM(J41&amp;""),FIND(" ",TRIM(J41&amp;""))-1),코드표!$J$2:$J$101,0)),ISNUMBER(MATCH(TRIM(RIGHT(SUBSTITUTE(TRIM(J41&amp;"")," ",REPT(" ",60)),60)),코드표!$F$2:$F$101,0))),INDEX(코드표!$K$2:$K$101,MATCH(LEFT(TRIM(J41&amp;""),FIND(" ",TRIM(J41&amp;""))-1),코드표!$J$2:$J$101,0))&amp;" "&amp;INDEX(코드표!$G$2:$G$101,MATCH(TRIM(RIGHT(SUBSTITUTE(TRIM(J41&amp;"")," ",REPT(" ",60)),60)),코드표!$F$2:$F$101,0)),"⚠"&amp;TRIM(J41&amp;""))),"⚠"&amp;TRIM(J41&amp;""))</f>
        <v/>
      </c>
      <c r="S41" s="11">
        <f>IF(K41="","",IFERROR(IF(AND(ROUND((VALUE(K41&amp;"")-INT(VALUE(K41&amp;"")))*100,0)&gt;=1,ROUND((VALUE(K41&amp;"")-INT(VALUE(K41&amp;"")))*100,0)&lt;=12,INT(VALUE(K41&amp;""))&gt;=1900),DATE(INT(VALUE(K41&amp;"")),ROUND((VALUE(K41&amp;"")-INT(VALUE(K41&amp;"")))*100,0),1),K41&amp;""),K41&amp;""))</f>
        <v/>
      </c>
      <c r="T41" s="10">
        <f>COUNTIF(M41:R41,"⚠*")</f>
        <v/>
      </c>
    </row>
    <row r="42"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M42" s="10">
        <f>IFERROR(IF(TRIM(E42&amp;"")="","",IF(AND(ISNUMBER(FIND(" ",TRIM(E42&amp;""))),ISNUMBER(MATCH(LEFT(TRIM(E42&amp;""),FIND(" ",TRIM(E42&amp;""))-1),코드표!$J$2:$J$101,0)),ISNUMBER(MATCH(TRIM(RIGHT(SUBSTITUTE(TRIM(E42&amp;"")," ",REPT(" ",60)),60)),코드표!$F$2:$F$101,0))),INDEX(코드표!$K$2:$K$101,MATCH(LEFT(TRIM(E42&amp;""),FIND(" ",TRIM(E42&amp;""))-1),코드표!$J$2:$J$101,0))&amp;" "&amp;INDEX(코드표!$G$2:$G$101,MATCH(TRIM(RIGHT(SUBSTITUTE(TRIM(E42&amp;"")," ",REPT(" ",60)),60)),코드표!$F$2:$F$101,0)),"⚠"&amp;TRIM(E42&amp;""))),"⚠"&amp;TRIM(E42&amp;""))</f>
        <v/>
      </c>
      <c r="N42" s="10">
        <f>IFERROR(IF(TRIM(F42&amp;"")="","",IF(AND(ISNUMBER(FIND(" ",TRIM(F42&amp;""))),ISNUMBER(MATCH(LEFT(TRIM(F42&amp;""),FIND(" ",TRIM(F42&amp;""))-1),코드표!$J$2:$J$101,0)),ISNUMBER(MATCH(TRIM(RIGHT(SUBSTITUTE(TRIM(F42&amp;"")," ",REPT(" ",60)),60)),코드표!$F$2:$F$101,0))),INDEX(코드표!$K$2:$K$101,MATCH(LEFT(TRIM(F42&amp;""),FIND(" ",TRIM(F42&amp;""))-1),코드표!$J$2:$J$101,0))&amp;" "&amp;INDEX(코드표!$G$2:$G$101,MATCH(TRIM(RIGHT(SUBSTITUTE(TRIM(F42&amp;"")," ",REPT(" ",60)),60)),코드표!$F$2:$F$101,0)),"⚠"&amp;TRIM(F42&amp;""))),"⚠"&amp;TRIM(F42&amp;""))</f>
        <v/>
      </c>
      <c r="O42" s="10">
        <f>IFERROR(IF(TRIM(G42&amp;"")="","",IF(AND(ISNUMBER(FIND(" ",TRIM(G42&amp;""))),ISNUMBER(MATCH(LEFT(TRIM(G42&amp;""),FIND(" ",TRIM(G42&amp;""))-1),코드표!$J$2:$J$101,0)),ISNUMBER(MATCH(TRIM(RIGHT(SUBSTITUTE(TRIM(G42&amp;"")," ",REPT(" ",60)),60)),코드표!$F$2:$F$101,0))),INDEX(코드표!$K$2:$K$101,MATCH(LEFT(TRIM(G42&amp;""),FIND(" ",TRIM(G42&amp;""))-1),코드표!$J$2:$J$101,0))&amp;" "&amp;INDEX(코드표!$G$2:$G$101,MATCH(TRIM(RIGHT(SUBSTITUTE(TRIM(G42&amp;"")," ",REPT(" ",60)),60)),코드표!$F$2:$F$101,0)),"⚠"&amp;TRIM(G42&amp;""))),"⚠"&amp;TRIM(G42&amp;""))</f>
        <v/>
      </c>
      <c r="P42" s="10">
        <f>IFERROR(IF(TRIM(H42&amp;"")="","",IF(AND(ISNUMBER(FIND(" ",TRIM(H42&amp;""))),ISNUMBER(MATCH(LEFT(TRIM(H42&amp;""),FIND(" ",TRIM(H42&amp;""))-1),코드표!$J$2:$J$101,0)),ISNUMBER(MATCH(TRIM(RIGHT(SUBSTITUTE(TRIM(H42&amp;"")," ",REPT(" ",60)),60)),코드표!$F$2:$F$101,0))),INDEX(코드표!$K$2:$K$101,MATCH(LEFT(TRIM(H42&amp;""),FIND(" ",TRIM(H42&amp;""))-1),코드표!$J$2:$J$101,0))&amp;" "&amp;INDEX(코드표!$G$2:$G$101,MATCH(TRIM(RIGHT(SUBSTITUTE(TRIM(H42&amp;"")," ",REPT(" ",60)),60)),코드표!$F$2:$F$101,0)),"⚠"&amp;TRIM(H42&amp;""))),"⚠"&amp;TRIM(H42&amp;""))</f>
        <v/>
      </c>
      <c r="Q42" s="10">
        <f>IFERROR(IF(TRIM(I42&amp;"")="","",IF(AND(ISNUMBER(FIND(" ",TRIM(I42&amp;""))),ISNUMBER(MATCH(LEFT(TRIM(I42&amp;""),FIND(" ",TRIM(I42&amp;""))-1),코드표!$J$2:$J$101,0)),ISNUMBER(MATCH(TRIM(RIGHT(SUBSTITUTE(TRIM(I42&amp;"")," ",REPT(" ",60)),60)),코드표!$F$2:$F$101,0))),INDEX(코드표!$K$2:$K$101,MATCH(LEFT(TRIM(I42&amp;""),FIND(" ",TRIM(I42&amp;""))-1),코드표!$J$2:$J$101,0))&amp;" "&amp;INDEX(코드표!$G$2:$G$101,MATCH(TRIM(RIGHT(SUBSTITUTE(TRIM(I42&amp;"")," ",REPT(" ",60)),60)),코드표!$F$2:$F$101,0)),"⚠"&amp;TRIM(I42&amp;""))),"⚠"&amp;TRIM(I42&amp;""))</f>
        <v/>
      </c>
      <c r="R42" s="10">
        <f>IFERROR(IF(TRIM(J42&amp;"")="","",IF(AND(ISNUMBER(FIND(" ",TRIM(J42&amp;""))),ISNUMBER(MATCH(LEFT(TRIM(J42&amp;""),FIND(" ",TRIM(J42&amp;""))-1),코드표!$J$2:$J$101,0)),ISNUMBER(MATCH(TRIM(RIGHT(SUBSTITUTE(TRIM(J42&amp;"")," ",REPT(" ",60)),60)),코드표!$F$2:$F$101,0))),INDEX(코드표!$K$2:$K$101,MATCH(LEFT(TRIM(J42&amp;""),FIND(" ",TRIM(J42&amp;""))-1),코드표!$J$2:$J$101,0))&amp;" "&amp;INDEX(코드표!$G$2:$G$101,MATCH(TRIM(RIGHT(SUBSTITUTE(TRIM(J42&amp;"")," ",REPT(" ",60)),60)),코드표!$F$2:$F$101,0)),"⚠"&amp;TRIM(J42&amp;""))),"⚠"&amp;TRIM(J42&amp;""))</f>
        <v/>
      </c>
      <c r="S42" s="11">
        <f>IF(K42="","",IFERROR(IF(AND(ROUND((VALUE(K42&amp;"")-INT(VALUE(K42&amp;"")))*100,0)&gt;=1,ROUND((VALUE(K42&amp;"")-INT(VALUE(K42&amp;"")))*100,0)&lt;=12,INT(VALUE(K42&amp;""))&gt;=1900),DATE(INT(VALUE(K42&amp;"")),ROUND((VALUE(K42&amp;"")-INT(VALUE(K42&amp;"")))*100,0),1),K42&amp;""),K42&amp;""))</f>
        <v/>
      </c>
      <c r="T42" s="10">
        <f>COUNTIF(M42:R42,"⚠*")</f>
        <v/>
      </c>
    </row>
    <row r="43"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M43" s="10">
        <f>IFERROR(IF(TRIM(E43&amp;"")="","",IF(AND(ISNUMBER(FIND(" ",TRIM(E43&amp;""))),ISNUMBER(MATCH(LEFT(TRIM(E43&amp;""),FIND(" ",TRIM(E43&amp;""))-1),코드표!$J$2:$J$101,0)),ISNUMBER(MATCH(TRIM(RIGHT(SUBSTITUTE(TRIM(E43&amp;"")," ",REPT(" ",60)),60)),코드표!$F$2:$F$101,0))),INDEX(코드표!$K$2:$K$101,MATCH(LEFT(TRIM(E43&amp;""),FIND(" ",TRIM(E43&amp;""))-1),코드표!$J$2:$J$101,0))&amp;" "&amp;INDEX(코드표!$G$2:$G$101,MATCH(TRIM(RIGHT(SUBSTITUTE(TRIM(E43&amp;"")," ",REPT(" ",60)),60)),코드표!$F$2:$F$101,0)),"⚠"&amp;TRIM(E43&amp;""))),"⚠"&amp;TRIM(E43&amp;""))</f>
        <v/>
      </c>
      <c r="N43" s="10">
        <f>IFERROR(IF(TRIM(F43&amp;"")="","",IF(AND(ISNUMBER(FIND(" ",TRIM(F43&amp;""))),ISNUMBER(MATCH(LEFT(TRIM(F43&amp;""),FIND(" ",TRIM(F43&amp;""))-1),코드표!$J$2:$J$101,0)),ISNUMBER(MATCH(TRIM(RIGHT(SUBSTITUTE(TRIM(F43&amp;"")," ",REPT(" ",60)),60)),코드표!$F$2:$F$101,0))),INDEX(코드표!$K$2:$K$101,MATCH(LEFT(TRIM(F43&amp;""),FIND(" ",TRIM(F43&amp;""))-1),코드표!$J$2:$J$101,0))&amp;" "&amp;INDEX(코드표!$G$2:$G$101,MATCH(TRIM(RIGHT(SUBSTITUTE(TRIM(F43&amp;"")," ",REPT(" ",60)),60)),코드표!$F$2:$F$101,0)),"⚠"&amp;TRIM(F43&amp;""))),"⚠"&amp;TRIM(F43&amp;""))</f>
        <v/>
      </c>
      <c r="O43" s="10">
        <f>IFERROR(IF(TRIM(G43&amp;"")="","",IF(AND(ISNUMBER(FIND(" ",TRIM(G43&amp;""))),ISNUMBER(MATCH(LEFT(TRIM(G43&amp;""),FIND(" ",TRIM(G43&amp;""))-1),코드표!$J$2:$J$101,0)),ISNUMBER(MATCH(TRIM(RIGHT(SUBSTITUTE(TRIM(G43&amp;"")," ",REPT(" ",60)),60)),코드표!$F$2:$F$101,0))),INDEX(코드표!$K$2:$K$101,MATCH(LEFT(TRIM(G43&amp;""),FIND(" ",TRIM(G43&amp;""))-1),코드표!$J$2:$J$101,0))&amp;" "&amp;INDEX(코드표!$G$2:$G$101,MATCH(TRIM(RIGHT(SUBSTITUTE(TRIM(G43&amp;"")," ",REPT(" ",60)),60)),코드표!$F$2:$F$101,0)),"⚠"&amp;TRIM(G43&amp;""))),"⚠"&amp;TRIM(G43&amp;""))</f>
        <v/>
      </c>
      <c r="P43" s="10">
        <f>IFERROR(IF(TRIM(H43&amp;"")="","",IF(AND(ISNUMBER(FIND(" ",TRIM(H43&amp;""))),ISNUMBER(MATCH(LEFT(TRIM(H43&amp;""),FIND(" ",TRIM(H43&amp;""))-1),코드표!$J$2:$J$101,0)),ISNUMBER(MATCH(TRIM(RIGHT(SUBSTITUTE(TRIM(H43&amp;"")," ",REPT(" ",60)),60)),코드표!$F$2:$F$101,0))),INDEX(코드표!$K$2:$K$101,MATCH(LEFT(TRIM(H43&amp;""),FIND(" ",TRIM(H43&amp;""))-1),코드표!$J$2:$J$101,0))&amp;" "&amp;INDEX(코드표!$G$2:$G$101,MATCH(TRIM(RIGHT(SUBSTITUTE(TRIM(H43&amp;"")," ",REPT(" ",60)),60)),코드표!$F$2:$F$101,0)),"⚠"&amp;TRIM(H43&amp;""))),"⚠"&amp;TRIM(H43&amp;""))</f>
        <v/>
      </c>
      <c r="Q43" s="10">
        <f>IFERROR(IF(TRIM(I43&amp;"")="","",IF(AND(ISNUMBER(FIND(" ",TRIM(I43&amp;""))),ISNUMBER(MATCH(LEFT(TRIM(I43&amp;""),FIND(" ",TRIM(I43&amp;""))-1),코드표!$J$2:$J$101,0)),ISNUMBER(MATCH(TRIM(RIGHT(SUBSTITUTE(TRIM(I43&amp;"")," ",REPT(" ",60)),60)),코드표!$F$2:$F$101,0))),INDEX(코드표!$K$2:$K$101,MATCH(LEFT(TRIM(I43&amp;""),FIND(" ",TRIM(I43&amp;""))-1),코드표!$J$2:$J$101,0))&amp;" "&amp;INDEX(코드표!$G$2:$G$101,MATCH(TRIM(RIGHT(SUBSTITUTE(TRIM(I43&amp;"")," ",REPT(" ",60)),60)),코드표!$F$2:$F$101,0)),"⚠"&amp;TRIM(I43&amp;""))),"⚠"&amp;TRIM(I43&amp;""))</f>
        <v/>
      </c>
      <c r="R43" s="10">
        <f>IFERROR(IF(TRIM(J43&amp;"")="","",IF(AND(ISNUMBER(FIND(" ",TRIM(J43&amp;""))),ISNUMBER(MATCH(LEFT(TRIM(J43&amp;""),FIND(" ",TRIM(J43&amp;""))-1),코드표!$J$2:$J$101,0)),ISNUMBER(MATCH(TRIM(RIGHT(SUBSTITUTE(TRIM(J43&amp;"")," ",REPT(" ",60)),60)),코드표!$F$2:$F$101,0))),INDEX(코드표!$K$2:$K$101,MATCH(LEFT(TRIM(J43&amp;""),FIND(" ",TRIM(J43&amp;""))-1),코드표!$J$2:$J$101,0))&amp;" "&amp;INDEX(코드표!$G$2:$G$101,MATCH(TRIM(RIGHT(SUBSTITUTE(TRIM(J43&amp;"")," ",REPT(" ",60)),60)),코드표!$F$2:$F$101,0)),"⚠"&amp;TRIM(J43&amp;""))),"⚠"&amp;TRIM(J43&amp;""))</f>
        <v/>
      </c>
      <c r="S43" s="11">
        <f>IF(K43="","",IFERROR(IF(AND(ROUND((VALUE(K43&amp;"")-INT(VALUE(K43&amp;"")))*100,0)&gt;=1,ROUND((VALUE(K43&amp;"")-INT(VALUE(K43&amp;"")))*100,0)&lt;=12,INT(VALUE(K43&amp;""))&gt;=1900),DATE(INT(VALUE(K43&amp;"")),ROUND((VALUE(K43&amp;"")-INT(VALUE(K43&amp;"")))*100,0),1),K43&amp;""),K43&amp;""))</f>
        <v/>
      </c>
      <c r="T43" s="10">
        <f>COUNTIF(M43:R43,"⚠*")</f>
        <v/>
      </c>
    </row>
    <row r="44"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M44" s="10">
        <f>IFERROR(IF(TRIM(E44&amp;"")="","",IF(AND(ISNUMBER(FIND(" ",TRIM(E44&amp;""))),ISNUMBER(MATCH(LEFT(TRIM(E44&amp;""),FIND(" ",TRIM(E44&amp;""))-1),코드표!$J$2:$J$101,0)),ISNUMBER(MATCH(TRIM(RIGHT(SUBSTITUTE(TRIM(E44&amp;"")," ",REPT(" ",60)),60)),코드표!$F$2:$F$101,0))),INDEX(코드표!$K$2:$K$101,MATCH(LEFT(TRIM(E44&amp;""),FIND(" ",TRIM(E44&amp;""))-1),코드표!$J$2:$J$101,0))&amp;" "&amp;INDEX(코드표!$G$2:$G$101,MATCH(TRIM(RIGHT(SUBSTITUTE(TRIM(E44&amp;"")," ",REPT(" ",60)),60)),코드표!$F$2:$F$101,0)),"⚠"&amp;TRIM(E44&amp;""))),"⚠"&amp;TRIM(E44&amp;""))</f>
        <v/>
      </c>
      <c r="N44" s="10">
        <f>IFERROR(IF(TRIM(F44&amp;"")="","",IF(AND(ISNUMBER(FIND(" ",TRIM(F44&amp;""))),ISNUMBER(MATCH(LEFT(TRIM(F44&amp;""),FIND(" ",TRIM(F44&amp;""))-1),코드표!$J$2:$J$101,0)),ISNUMBER(MATCH(TRIM(RIGHT(SUBSTITUTE(TRIM(F44&amp;"")," ",REPT(" ",60)),60)),코드표!$F$2:$F$101,0))),INDEX(코드표!$K$2:$K$101,MATCH(LEFT(TRIM(F44&amp;""),FIND(" ",TRIM(F44&amp;""))-1),코드표!$J$2:$J$101,0))&amp;" "&amp;INDEX(코드표!$G$2:$G$101,MATCH(TRIM(RIGHT(SUBSTITUTE(TRIM(F44&amp;"")," ",REPT(" ",60)),60)),코드표!$F$2:$F$101,0)),"⚠"&amp;TRIM(F44&amp;""))),"⚠"&amp;TRIM(F44&amp;""))</f>
        <v/>
      </c>
      <c r="O44" s="10">
        <f>IFERROR(IF(TRIM(G44&amp;"")="","",IF(AND(ISNUMBER(FIND(" ",TRIM(G44&amp;""))),ISNUMBER(MATCH(LEFT(TRIM(G44&amp;""),FIND(" ",TRIM(G44&amp;""))-1),코드표!$J$2:$J$101,0)),ISNUMBER(MATCH(TRIM(RIGHT(SUBSTITUTE(TRIM(G44&amp;"")," ",REPT(" ",60)),60)),코드표!$F$2:$F$101,0))),INDEX(코드표!$K$2:$K$101,MATCH(LEFT(TRIM(G44&amp;""),FIND(" ",TRIM(G44&amp;""))-1),코드표!$J$2:$J$101,0))&amp;" "&amp;INDEX(코드표!$G$2:$G$101,MATCH(TRIM(RIGHT(SUBSTITUTE(TRIM(G44&amp;"")," ",REPT(" ",60)),60)),코드표!$F$2:$F$101,0)),"⚠"&amp;TRIM(G44&amp;""))),"⚠"&amp;TRIM(G44&amp;""))</f>
        <v/>
      </c>
      <c r="P44" s="10">
        <f>IFERROR(IF(TRIM(H44&amp;"")="","",IF(AND(ISNUMBER(FIND(" ",TRIM(H44&amp;""))),ISNUMBER(MATCH(LEFT(TRIM(H44&amp;""),FIND(" ",TRIM(H44&amp;""))-1),코드표!$J$2:$J$101,0)),ISNUMBER(MATCH(TRIM(RIGHT(SUBSTITUTE(TRIM(H44&amp;"")," ",REPT(" ",60)),60)),코드표!$F$2:$F$101,0))),INDEX(코드표!$K$2:$K$101,MATCH(LEFT(TRIM(H44&amp;""),FIND(" ",TRIM(H44&amp;""))-1),코드표!$J$2:$J$101,0))&amp;" "&amp;INDEX(코드표!$G$2:$G$101,MATCH(TRIM(RIGHT(SUBSTITUTE(TRIM(H44&amp;"")," ",REPT(" ",60)),60)),코드표!$F$2:$F$101,0)),"⚠"&amp;TRIM(H44&amp;""))),"⚠"&amp;TRIM(H44&amp;""))</f>
        <v/>
      </c>
      <c r="Q44" s="10">
        <f>IFERROR(IF(TRIM(I44&amp;"")="","",IF(AND(ISNUMBER(FIND(" ",TRIM(I44&amp;""))),ISNUMBER(MATCH(LEFT(TRIM(I44&amp;""),FIND(" ",TRIM(I44&amp;""))-1),코드표!$J$2:$J$101,0)),ISNUMBER(MATCH(TRIM(RIGHT(SUBSTITUTE(TRIM(I44&amp;"")," ",REPT(" ",60)),60)),코드표!$F$2:$F$101,0))),INDEX(코드표!$K$2:$K$101,MATCH(LEFT(TRIM(I44&amp;""),FIND(" ",TRIM(I44&amp;""))-1),코드표!$J$2:$J$101,0))&amp;" "&amp;INDEX(코드표!$G$2:$G$101,MATCH(TRIM(RIGHT(SUBSTITUTE(TRIM(I44&amp;"")," ",REPT(" ",60)),60)),코드표!$F$2:$F$101,0)),"⚠"&amp;TRIM(I44&amp;""))),"⚠"&amp;TRIM(I44&amp;""))</f>
        <v/>
      </c>
      <c r="R44" s="10">
        <f>IFERROR(IF(TRIM(J44&amp;"")="","",IF(AND(ISNUMBER(FIND(" ",TRIM(J44&amp;""))),ISNUMBER(MATCH(LEFT(TRIM(J44&amp;""),FIND(" ",TRIM(J44&amp;""))-1),코드표!$J$2:$J$101,0)),ISNUMBER(MATCH(TRIM(RIGHT(SUBSTITUTE(TRIM(J44&amp;"")," ",REPT(" ",60)),60)),코드표!$F$2:$F$101,0))),INDEX(코드표!$K$2:$K$101,MATCH(LEFT(TRIM(J44&amp;""),FIND(" ",TRIM(J44&amp;""))-1),코드표!$J$2:$J$101,0))&amp;" "&amp;INDEX(코드표!$G$2:$G$101,MATCH(TRIM(RIGHT(SUBSTITUTE(TRIM(J44&amp;"")," ",REPT(" ",60)),60)),코드표!$F$2:$F$101,0)),"⚠"&amp;TRIM(J44&amp;""))),"⚠"&amp;TRIM(J44&amp;""))</f>
        <v/>
      </c>
      <c r="S44" s="11">
        <f>IF(K44="","",IFERROR(IF(AND(ROUND((VALUE(K44&amp;"")-INT(VALUE(K44&amp;"")))*100,0)&gt;=1,ROUND((VALUE(K44&amp;"")-INT(VALUE(K44&amp;"")))*100,0)&lt;=12,INT(VALUE(K44&amp;""))&gt;=1900),DATE(INT(VALUE(K44&amp;"")),ROUND((VALUE(K44&amp;"")-INT(VALUE(K44&amp;"")))*100,0),1),K44&amp;""),K44&amp;""))</f>
        <v/>
      </c>
      <c r="T44" s="10">
        <f>COUNTIF(M44:R44,"⚠*")</f>
        <v/>
      </c>
    </row>
    <row r="45"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M45" s="10">
        <f>IFERROR(IF(TRIM(E45&amp;"")="","",IF(AND(ISNUMBER(FIND(" ",TRIM(E45&amp;""))),ISNUMBER(MATCH(LEFT(TRIM(E45&amp;""),FIND(" ",TRIM(E45&amp;""))-1),코드표!$J$2:$J$101,0)),ISNUMBER(MATCH(TRIM(RIGHT(SUBSTITUTE(TRIM(E45&amp;"")," ",REPT(" ",60)),60)),코드표!$F$2:$F$101,0))),INDEX(코드표!$K$2:$K$101,MATCH(LEFT(TRIM(E45&amp;""),FIND(" ",TRIM(E45&amp;""))-1),코드표!$J$2:$J$101,0))&amp;" "&amp;INDEX(코드표!$G$2:$G$101,MATCH(TRIM(RIGHT(SUBSTITUTE(TRIM(E45&amp;"")," ",REPT(" ",60)),60)),코드표!$F$2:$F$101,0)),"⚠"&amp;TRIM(E45&amp;""))),"⚠"&amp;TRIM(E45&amp;""))</f>
        <v/>
      </c>
      <c r="N45" s="10">
        <f>IFERROR(IF(TRIM(F45&amp;"")="","",IF(AND(ISNUMBER(FIND(" ",TRIM(F45&amp;""))),ISNUMBER(MATCH(LEFT(TRIM(F45&amp;""),FIND(" ",TRIM(F45&amp;""))-1),코드표!$J$2:$J$101,0)),ISNUMBER(MATCH(TRIM(RIGHT(SUBSTITUTE(TRIM(F45&amp;"")," ",REPT(" ",60)),60)),코드표!$F$2:$F$101,0))),INDEX(코드표!$K$2:$K$101,MATCH(LEFT(TRIM(F45&amp;""),FIND(" ",TRIM(F45&amp;""))-1),코드표!$J$2:$J$101,0))&amp;" "&amp;INDEX(코드표!$G$2:$G$101,MATCH(TRIM(RIGHT(SUBSTITUTE(TRIM(F45&amp;"")," ",REPT(" ",60)),60)),코드표!$F$2:$F$101,0)),"⚠"&amp;TRIM(F45&amp;""))),"⚠"&amp;TRIM(F45&amp;""))</f>
        <v/>
      </c>
      <c r="O45" s="10">
        <f>IFERROR(IF(TRIM(G45&amp;"")="","",IF(AND(ISNUMBER(FIND(" ",TRIM(G45&amp;""))),ISNUMBER(MATCH(LEFT(TRIM(G45&amp;""),FIND(" ",TRIM(G45&amp;""))-1),코드표!$J$2:$J$101,0)),ISNUMBER(MATCH(TRIM(RIGHT(SUBSTITUTE(TRIM(G45&amp;"")," ",REPT(" ",60)),60)),코드표!$F$2:$F$101,0))),INDEX(코드표!$K$2:$K$101,MATCH(LEFT(TRIM(G45&amp;""),FIND(" ",TRIM(G45&amp;""))-1),코드표!$J$2:$J$101,0))&amp;" "&amp;INDEX(코드표!$G$2:$G$101,MATCH(TRIM(RIGHT(SUBSTITUTE(TRIM(G45&amp;"")," ",REPT(" ",60)),60)),코드표!$F$2:$F$101,0)),"⚠"&amp;TRIM(G45&amp;""))),"⚠"&amp;TRIM(G45&amp;""))</f>
        <v/>
      </c>
      <c r="P45" s="10">
        <f>IFERROR(IF(TRIM(H45&amp;"")="","",IF(AND(ISNUMBER(FIND(" ",TRIM(H45&amp;""))),ISNUMBER(MATCH(LEFT(TRIM(H45&amp;""),FIND(" ",TRIM(H45&amp;""))-1),코드표!$J$2:$J$101,0)),ISNUMBER(MATCH(TRIM(RIGHT(SUBSTITUTE(TRIM(H45&amp;"")," ",REPT(" ",60)),60)),코드표!$F$2:$F$101,0))),INDEX(코드표!$K$2:$K$101,MATCH(LEFT(TRIM(H45&amp;""),FIND(" ",TRIM(H45&amp;""))-1),코드표!$J$2:$J$101,0))&amp;" "&amp;INDEX(코드표!$G$2:$G$101,MATCH(TRIM(RIGHT(SUBSTITUTE(TRIM(H45&amp;"")," ",REPT(" ",60)),60)),코드표!$F$2:$F$101,0)),"⚠"&amp;TRIM(H45&amp;""))),"⚠"&amp;TRIM(H45&amp;""))</f>
        <v/>
      </c>
      <c r="Q45" s="10">
        <f>IFERROR(IF(TRIM(I45&amp;"")="","",IF(AND(ISNUMBER(FIND(" ",TRIM(I45&amp;""))),ISNUMBER(MATCH(LEFT(TRIM(I45&amp;""),FIND(" ",TRIM(I45&amp;""))-1),코드표!$J$2:$J$101,0)),ISNUMBER(MATCH(TRIM(RIGHT(SUBSTITUTE(TRIM(I45&amp;"")," ",REPT(" ",60)),60)),코드표!$F$2:$F$101,0))),INDEX(코드표!$K$2:$K$101,MATCH(LEFT(TRIM(I45&amp;""),FIND(" ",TRIM(I45&amp;""))-1),코드표!$J$2:$J$101,0))&amp;" "&amp;INDEX(코드표!$G$2:$G$101,MATCH(TRIM(RIGHT(SUBSTITUTE(TRIM(I45&amp;"")," ",REPT(" ",60)),60)),코드표!$F$2:$F$101,0)),"⚠"&amp;TRIM(I45&amp;""))),"⚠"&amp;TRIM(I45&amp;""))</f>
        <v/>
      </c>
      <c r="R45" s="10">
        <f>IFERROR(IF(TRIM(J45&amp;"")="","",IF(AND(ISNUMBER(FIND(" ",TRIM(J45&amp;""))),ISNUMBER(MATCH(LEFT(TRIM(J45&amp;""),FIND(" ",TRIM(J45&amp;""))-1),코드표!$J$2:$J$101,0)),ISNUMBER(MATCH(TRIM(RIGHT(SUBSTITUTE(TRIM(J45&amp;"")," ",REPT(" ",60)),60)),코드표!$F$2:$F$101,0))),INDEX(코드표!$K$2:$K$101,MATCH(LEFT(TRIM(J45&amp;""),FIND(" ",TRIM(J45&amp;""))-1),코드표!$J$2:$J$101,0))&amp;" "&amp;INDEX(코드표!$G$2:$G$101,MATCH(TRIM(RIGHT(SUBSTITUTE(TRIM(J45&amp;"")," ",REPT(" ",60)),60)),코드표!$F$2:$F$101,0)),"⚠"&amp;TRIM(J45&amp;""))),"⚠"&amp;TRIM(J45&amp;""))</f>
        <v/>
      </c>
      <c r="S45" s="11">
        <f>IF(K45="","",IFERROR(IF(AND(ROUND((VALUE(K45&amp;"")-INT(VALUE(K45&amp;"")))*100,0)&gt;=1,ROUND((VALUE(K45&amp;"")-INT(VALUE(K45&amp;"")))*100,0)&lt;=12,INT(VALUE(K45&amp;""))&gt;=1900),DATE(INT(VALUE(K45&amp;"")),ROUND((VALUE(K45&amp;"")-INT(VALUE(K45&amp;"")))*100,0),1),K45&amp;""),K45&amp;""))</f>
        <v/>
      </c>
      <c r="T45" s="10">
        <f>COUNTIF(M45:R45,"⚠*")</f>
        <v/>
      </c>
    </row>
    <row r="46"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M46" s="10">
        <f>IFERROR(IF(TRIM(E46&amp;"")="","",IF(AND(ISNUMBER(FIND(" ",TRIM(E46&amp;""))),ISNUMBER(MATCH(LEFT(TRIM(E46&amp;""),FIND(" ",TRIM(E46&amp;""))-1),코드표!$J$2:$J$101,0)),ISNUMBER(MATCH(TRIM(RIGHT(SUBSTITUTE(TRIM(E46&amp;"")," ",REPT(" ",60)),60)),코드표!$F$2:$F$101,0))),INDEX(코드표!$K$2:$K$101,MATCH(LEFT(TRIM(E46&amp;""),FIND(" ",TRIM(E46&amp;""))-1),코드표!$J$2:$J$101,0))&amp;" "&amp;INDEX(코드표!$G$2:$G$101,MATCH(TRIM(RIGHT(SUBSTITUTE(TRIM(E46&amp;"")," ",REPT(" ",60)),60)),코드표!$F$2:$F$101,0)),"⚠"&amp;TRIM(E46&amp;""))),"⚠"&amp;TRIM(E46&amp;""))</f>
        <v/>
      </c>
      <c r="N46" s="10">
        <f>IFERROR(IF(TRIM(F46&amp;"")="","",IF(AND(ISNUMBER(FIND(" ",TRIM(F46&amp;""))),ISNUMBER(MATCH(LEFT(TRIM(F46&amp;""),FIND(" ",TRIM(F46&amp;""))-1),코드표!$J$2:$J$101,0)),ISNUMBER(MATCH(TRIM(RIGHT(SUBSTITUTE(TRIM(F46&amp;"")," ",REPT(" ",60)),60)),코드표!$F$2:$F$101,0))),INDEX(코드표!$K$2:$K$101,MATCH(LEFT(TRIM(F46&amp;""),FIND(" ",TRIM(F46&amp;""))-1),코드표!$J$2:$J$101,0))&amp;" "&amp;INDEX(코드표!$G$2:$G$101,MATCH(TRIM(RIGHT(SUBSTITUTE(TRIM(F46&amp;"")," ",REPT(" ",60)),60)),코드표!$F$2:$F$101,0)),"⚠"&amp;TRIM(F46&amp;""))),"⚠"&amp;TRIM(F46&amp;""))</f>
        <v/>
      </c>
      <c r="O46" s="10">
        <f>IFERROR(IF(TRIM(G46&amp;"")="","",IF(AND(ISNUMBER(FIND(" ",TRIM(G46&amp;""))),ISNUMBER(MATCH(LEFT(TRIM(G46&amp;""),FIND(" ",TRIM(G46&amp;""))-1),코드표!$J$2:$J$101,0)),ISNUMBER(MATCH(TRIM(RIGHT(SUBSTITUTE(TRIM(G46&amp;"")," ",REPT(" ",60)),60)),코드표!$F$2:$F$101,0))),INDEX(코드표!$K$2:$K$101,MATCH(LEFT(TRIM(G46&amp;""),FIND(" ",TRIM(G46&amp;""))-1),코드표!$J$2:$J$101,0))&amp;" "&amp;INDEX(코드표!$G$2:$G$101,MATCH(TRIM(RIGHT(SUBSTITUTE(TRIM(G46&amp;"")," ",REPT(" ",60)),60)),코드표!$F$2:$F$101,0)),"⚠"&amp;TRIM(G46&amp;""))),"⚠"&amp;TRIM(G46&amp;""))</f>
        <v/>
      </c>
      <c r="P46" s="10">
        <f>IFERROR(IF(TRIM(H46&amp;"")="","",IF(AND(ISNUMBER(FIND(" ",TRIM(H46&amp;""))),ISNUMBER(MATCH(LEFT(TRIM(H46&amp;""),FIND(" ",TRIM(H46&amp;""))-1),코드표!$J$2:$J$101,0)),ISNUMBER(MATCH(TRIM(RIGHT(SUBSTITUTE(TRIM(H46&amp;"")," ",REPT(" ",60)),60)),코드표!$F$2:$F$101,0))),INDEX(코드표!$K$2:$K$101,MATCH(LEFT(TRIM(H46&amp;""),FIND(" ",TRIM(H46&amp;""))-1),코드표!$J$2:$J$101,0))&amp;" "&amp;INDEX(코드표!$G$2:$G$101,MATCH(TRIM(RIGHT(SUBSTITUTE(TRIM(H46&amp;"")," ",REPT(" ",60)),60)),코드표!$F$2:$F$101,0)),"⚠"&amp;TRIM(H46&amp;""))),"⚠"&amp;TRIM(H46&amp;""))</f>
        <v/>
      </c>
      <c r="Q46" s="10">
        <f>IFERROR(IF(TRIM(I46&amp;"")="","",IF(AND(ISNUMBER(FIND(" ",TRIM(I46&amp;""))),ISNUMBER(MATCH(LEFT(TRIM(I46&amp;""),FIND(" ",TRIM(I46&amp;""))-1),코드표!$J$2:$J$101,0)),ISNUMBER(MATCH(TRIM(RIGHT(SUBSTITUTE(TRIM(I46&amp;"")," ",REPT(" ",60)),60)),코드표!$F$2:$F$101,0))),INDEX(코드표!$K$2:$K$101,MATCH(LEFT(TRIM(I46&amp;""),FIND(" ",TRIM(I46&amp;""))-1),코드표!$J$2:$J$101,0))&amp;" "&amp;INDEX(코드표!$G$2:$G$101,MATCH(TRIM(RIGHT(SUBSTITUTE(TRIM(I46&amp;"")," ",REPT(" ",60)),60)),코드표!$F$2:$F$101,0)),"⚠"&amp;TRIM(I46&amp;""))),"⚠"&amp;TRIM(I46&amp;""))</f>
        <v/>
      </c>
      <c r="R46" s="10">
        <f>IFERROR(IF(TRIM(J46&amp;"")="","",IF(AND(ISNUMBER(FIND(" ",TRIM(J46&amp;""))),ISNUMBER(MATCH(LEFT(TRIM(J46&amp;""),FIND(" ",TRIM(J46&amp;""))-1),코드표!$J$2:$J$101,0)),ISNUMBER(MATCH(TRIM(RIGHT(SUBSTITUTE(TRIM(J46&amp;"")," ",REPT(" ",60)),60)),코드표!$F$2:$F$101,0))),INDEX(코드표!$K$2:$K$101,MATCH(LEFT(TRIM(J46&amp;""),FIND(" ",TRIM(J46&amp;""))-1),코드표!$J$2:$J$101,0))&amp;" "&amp;INDEX(코드표!$G$2:$G$101,MATCH(TRIM(RIGHT(SUBSTITUTE(TRIM(J46&amp;"")," ",REPT(" ",60)),60)),코드표!$F$2:$F$101,0)),"⚠"&amp;TRIM(J46&amp;""))),"⚠"&amp;TRIM(J46&amp;""))</f>
        <v/>
      </c>
      <c r="S46" s="11">
        <f>IF(K46="","",IFERROR(IF(AND(ROUND((VALUE(K46&amp;"")-INT(VALUE(K46&amp;"")))*100,0)&gt;=1,ROUND((VALUE(K46&amp;"")-INT(VALUE(K46&amp;"")))*100,0)&lt;=12,INT(VALUE(K46&amp;""))&gt;=1900),DATE(INT(VALUE(K46&amp;"")),ROUND((VALUE(K46&amp;"")-INT(VALUE(K46&amp;"")))*100,0),1),K46&amp;""),K46&amp;""))</f>
        <v/>
      </c>
      <c r="T46" s="10">
        <f>COUNTIF(M46:R46,"⚠*")</f>
        <v/>
      </c>
    </row>
    <row r="47"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M47" s="10">
        <f>IFERROR(IF(TRIM(E47&amp;"")="","",IF(AND(ISNUMBER(FIND(" ",TRIM(E47&amp;""))),ISNUMBER(MATCH(LEFT(TRIM(E47&amp;""),FIND(" ",TRIM(E47&amp;""))-1),코드표!$J$2:$J$101,0)),ISNUMBER(MATCH(TRIM(RIGHT(SUBSTITUTE(TRIM(E47&amp;"")," ",REPT(" ",60)),60)),코드표!$F$2:$F$101,0))),INDEX(코드표!$K$2:$K$101,MATCH(LEFT(TRIM(E47&amp;""),FIND(" ",TRIM(E47&amp;""))-1),코드표!$J$2:$J$101,0))&amp;" "&amp;INDEX(코드표!$G$2:$G$101,MATCH(TRIM(RIGHT(SUBSTITUTE(TRIM(E47&amp;"")," ",REPT(" ",60)),60)),코드표!$F$2:$F$101,0)),"⚠"&amp;TRIM(E47&amp;""))),"⚠"&amp;TRIM(E47&amp;""))</f>
        <v/>
      </c>
      <c r="N47" s="10">
        <f>IFERROR(IF(TRIM(F47&amp;"")="","",IF(AND(ISNUMBER(FIND(" ",TRIM(F47&amp;""))),ISNUMBER(MATCH(LEFT(TRIM(F47&amp;""),FIND(" ",TRIM(F47&amp;""))-1),코드표!$J$2:$J$101,0)),ISNUMBER(MATCH(TRIM(RIGHT(SUBSTITUTE(TRIM(F47&amp;"")," ",REPT(" ",60)),60)),코드표!$F$2:$F$101,0))),INDEX(코드표!$K$2:$K$101,MATCH(LEFT(TRIM(F47&amp;""),FIND(" ",TRIM(F47&amp;""))-1),코드표!$J$2:$J$101,0))&amp;" "&amp;INDEX(코드표!$G$2:$G$101,MATCH(TRIM(RIGHT(SUBSTITUTE(TRIM(F47&amp;"")," ",REPT(" ",60)),60)),코드표!$F$2:$F$101,0)),"⚠"&amp;TRIM(F47&amp;""))),"⚠"&amp;TRIM(F47&amp;""))</f>
        <v/>
      </c>
      <c r="O47" s="10">
        <f>IFERROR(IF(TRIM(G47&amp;"")="","",IF(AND(ISNUMBER(FIND(" ",TRIM(G47&amp;""))),ISNUMBER(MATCH(LEFT(TRIM(G47&amp;""),FIND(" ",TRIM(G47&amp;""))-1),코드표!$J$2:$J$101,0)),ISNUMBER(MATCH(TRIM(RIGHT(SUBSTITUTE(TRIM(G47&amp;"")," ",REPT(" ",60)),60)),코드표!$F$2:$F$101,0))),INDEX(코드표!$K$2:$K$101,MATCH(LEFT(TRIM(G47&amp;""),FIND(" ",TRIM(G47&amp;""))-1),코드표!$J$2:$J$101,0))&amp;" "&amp;INDEX(코드표!$G$2:$G$101,MATCH(TRIM(RIGHT(SUBSTITUTE(TRIM(G47&amp;"")," ",REPT(" ",60)),60)),코드표!$F$2:$F$101,0)),"⚠"&amp;TRIM(G47&amp;""))),"⚠"&amp;TRIM(G47&amp;""))</f>
        <v/>
      </c>
      <c r="P47" s="10">
        <f>IFERROR(IF(TRIM(H47&amp;"")="","",IF(AND(ISNUMBER(FIND(" ",TRIM(H47&amp;""))),ISNUMBER(MATCH(LEFT(TRIM(H47&amp;""),FIND(" ",TRIM(H47&amp;""))-1),코드표!$J$2:$J$101,0)),ISNUMBER(MATCH(TRIM(RIGHT(SUBSTITUTE(TRIM(H47&amp;"")," ",REPT(" ",60)),60)),코드표!$F$2:$F$101,0))),INDEX(코드표!$K$2:$K$101,MATCH(LEFT(TRIM(H47&amp;""),FIND(" ",TRIM(H47&amp;""))-1),코드표!$J$2:$J$101,0))&amp;" "&amp;INDEX(코드표!$G$2:$G$101,MATCH(TRIM(RIGHT(SUBSTITUTE(TRIM(H47&amp;"")," ",REPT(" ",60)),60)),코드표!$F$2:$F$101,0)),"⚠"&amp;TRIM(H47&amp;""))),"⚠"&amp;TRIM(H47&amp;""))</f>
        <v/>
      </c>
      <c r="Q47" s="10">
        <f>IFERROR(IF(TRIM(I47&amp;"")="","",IF(AND(ISNUMBER(FIND(" ",TRIM(I47&amp;""))),ISNUMBER(MATCH(LEFT(TRIM(I47&amp;""),FIND(" ",TRIM(I47&amp;""))-1),코드표!$J$2:$J$101,0)),ISNUMBER(MATCH(TRIM(RIGHT(SUBSTITUTE(TRIM(I47&amp;"")," ",REPT(" ",60)),60)),코드표!$F$2:$F$101,0))),INDEX(코드표!$K$2:$K$101,MATCH(LEFT(TRIM(I47&amp;""),FIND(" ",TRIM(I47&amp;""))-1),코드표!$J$2:$J$101,0))&amp;" "&amp;INDEX(코드표!$G$2:$G$101,MATCH(TRIM(RIGHT(SUBSTITUTE(TRIM(I47&amp;"")," ",REPT(" ",60)),60)),코드표!$F$2:$F$101,0)),"⚠"&amp;TRIM(I47&amp;""))),"⚠"&amp;TRIM(I47&amp;""))</f>
        <v/>
      </c>
      <c r="R47" s="10">
        <f>IFERROR(IF(TRIM(J47&amp;"")="","",IF(AND(ISNUMBER(FIND(" ",TRIM(J47&amp;""))),ISNUMBER(MATCH(LEFT(TRIM(J47&amp;""),FIND(" ",TRIM(J47&amp;""))-1),코드표!$J$2:$J$101,0)),ISNUMBER(MATCH(TRIM(RIGHT(SUBSTITUTE(TRIM(J47&amp;"")," ",REPT(" ",60)),60)),코드표!$F$2:$F$101,0))),INDEX(코드표!$K$2:$K$101,MATCH(LEFT(TRIM(J47&amp;""),FIND(" ",TRIM(J47&amp;""))-1),코드표!$J$2:$J$101,0))&amp;" "&amp;INDEX(코드표!$G$2:$G$101,MATCH(TRIM(RIGHT(SUBSTITUTE(TRIM(J47&amp;"")," ",REPT(" ",60)),60)),코드표!$F$2:$F$101,0)),"⚠"&amp;TRIM(J47&amp;""))),"⚠"&amp;TRIM(J47&amp;""))</f>
        <v/>
      </c>
      <c r="S47" s="11">
        <f>IF(K47="","",IFERROR(IF(AND(ROUND((VALUE(K47&amp;"")-INT(VALUE(K47&amp;"")))*100,0)&gt;=1,ROUND((VALUE(K47&amp;"")-INT(VALUE(K47&amp;"")))*100,0)&lt;=12,INT(VALUE(K47&amp;""))&gt;=1900),DATE(INT(VALUE(K47&amp;"")),ROUND((VALUE(K47&amp;"")-INT(VALUE(K47&amp;"")))*100,0),1),K47&amp;""),K47&amp;""))</f>
        <v/>
      </c>
      <c r="T47" s="10">
        <f>COUNTIF(M47:R47,"⚠*")</f>
        <v/>
      </c>
    </row>
    <row r="48"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M48" s="10">
        <f>IFERROR(IF(TRIM(E48&amp;"")="","",IF(AND(ISNUMBER(FIND(" ",TRIM(E48&amp;""))),ISNUMBER(MATCH(LEFT(TRIM(E48&amp;""),FIND(" ",TRIM(E48&amp;""))-1),코드표!$J$2:$J$101,0)),ISNUMBER(MATCH(TRIM(RIGHT(SUBSTITUTE(TRIM(E48&amp;"")," ",REPT(" ",60)),60)),코드표!$F$2:$F$101,0))),INDEX(코드표!$K$2:$K$101,MATCH(LEFT(TRIM(E48&amp;""),FIND(" ",TRIM(E48&amp;""))-1),코드표!$J$2:$J$101,0))&amp;" "&amp;INDEX(코드표!$G$2:$G$101,MATCH(TRIM(RIGHT(SUBSTITUTE(TRIM(E48&amp;"")," ",REPT(" ",60)),60)),코드표!$F$2:$F$101,0)),"⚠"&amp;TRIM(E48&amp;""))),"⚠"&amp;TRIM(E48&amp;""))</f>
        <v/>
      </c>
      <c r="N48" s="10">
        <f>IFERROR(IF(TRIM(F48&amp;"")="","",IF(AND(ISNUMBER(FIND(" ",TRIM(F48&amp;""))),ISNUMBER(MATCH(LEFT(TRIM(F48&amp;""),FIND(" ",TRIM(F48&amp;""))-1),코드표!$J$2:$J$101,0)),ISNUMBER(MATCH(TRIM(RIGHT(SUBSTITUTE(TRIM(F48&amp;"")," ",REPT(" ",60)),60)),코드표!$F$2:$F$101,0))),INDEX(코드표!$K$2:$K$101,MATCH(LEFT(TRIM(F48&amp;""),FIND(" ",TRIM(F48&amp;""))-1),코드표!$J$2:$J$101,0))&amp;" "&amp;INDEX(코드표!$G$2:$G$101,MATCH(TRIM(RIGHT(SUBSTITUTE(TRIM(F48&amp;"")," ",REPT(" ",60)),60)),코드표!$F$2:$F$101,0)),"⚠"&amp;TRIM(F48&amp;""))),"⚠"&amp;TRIM(F48&amp;""))</f>
        <v/>
      </c>
      <c r="O48" s="10">
        <f>IFERROR(IF(TRIM(G48&amp;"")="","",IF(AND(ISNUMBER(FIND(" ",TRIM(G48&amp;""))),ISNUMBER(MATCH(LEFT(TRIM(G48&amp;""),FIND(" ",TRIM(G48&amp;""))-1),코드표!$J$2:$J$101,0)),ISNUMBER(MATCH(TRIM(RIGHT(SUBSTITUTE(TRIM(G48&amp;"")," ",REPT(" ",60)),60)),코드표!$F$2:$F$101,0))),INDEX(코드표!$K$2:$K$101,MATCH(LEFT(TRIM(G48&amp;""),FIND(" ",TRIM(G48&amp;""))-1),코드표!$J$2:$J$101,0))&amp;" "&amp;INDEX(코드표!$G$2:$G$101,MATCH(TRIM(RIGHT(SUBSTITUTE(TRIM(G48&amp;"")," ",REPT(" ",60)),60)),코드표!$F$2:$F$101,0)),"⚠"&amp;TRIM(G48&amp;""))),"⚠"&amp;TRIM(G48&amp;""))</f>
        <v/>
      </c>
      <c r="P48" s="10">
        <f>IFERROR(IF(TRIM(H48&amp;"")="","",IF(AND(ISNUMBER(FIND(" ",TRIM(H48&amp;""))),ISNUMBER(MATCH(LEFT(TRIM(H48&amp;""),FIND(" ",TRIM(H48&amp;""))-1),코드표!$J$2:$J$101,0)),ISNUMBER(MATCH(TRIM(RIGHT(SUBSTITUTE(TRIM(H48&amp;"")," ",REPT(" ",60)),60)),코드표!$F$2:$F$101,0))),INDEX(코드표!$K$2:$K$101,MATCH(LEFT(TRIM(H48&amp;""),FIND(" ",TRIM(H48&amp;""))-1),코드표!$J$2:$J$101,0))&amp;" "&amp;INDEX(코드표!$G$2:$G$101,MATCH(TRIM(RIGHT(SUBSTITUTE(TRIM(H48&amp;"")," ",REPT(" ",60)),60)),코드표!$F$2:$F$101,0)),"⚠"&amp;TRIM(H48&amp;""))),"⚠"&amp;TRIM(H48&amp;""))</f>
        <v/>
      </c>
      <c r="Q48" s="10">
        <f>IFERROR(IF(TRIM(I48&amp;"")="","",IF(AND(ISNUMBER(FIND(" ",TRIM(I48&amp;""))),ISNUMBER(MATCH(LEFT(TRIM(I48&amp;""),FIND(" ",TRIM(I48&amp;""))-1),코드표!$J$2:$J$101,0)),ISNUMBER(MATCH(TRIM(RIGHT(SUBSTITUTE(TRIM(I48&amp;"")," ",REPT(" ",60)),60)),코드표!$F$2:$F$101,0))),INDEX(코드표!$K$2:$K$101,MATCH(LEFT(TRIM(I48&amp;""),FIND(" ",TRIM(I48&amp;""))-1),코드표!$J$2:$J$101,0))&amp;" "&amp;INDEX(코드표!$G$2:$G$101,MATCH(TRIM(RIGHT(SUBSTITUTE(TRIM(I48&amp;"")," ",REPT(" ",60)),60)),코드표!$F$2:$F$101,0)),"⚠"&amp;TRIM(I48&amp;""))),"⚠"&amp;TRIM(I48&amp;""))</f>
        <v/>
      </c>
      <c r="R48" s="10">
        <f>IFERROR(IF(TRIM(J48&amp;"")="","",IF(AND(ISNUMBER(FIND(" ",TRIM(J48&amp;""))),ISNUMBER(MATCH(LEFT(TRIM(J48&amp;""),FIND(" ",TRIM(J48&amp;""))-1),코드표!$J$2:$J$101,0)),ISNUMBER(MATCH(TRIM(RIGHT(SUBSTITUTE(TRIM(J48&amp;"")," ",REPT(" ",60)),60)),코드표!$F$2:$F$101,0))),INDEX(코드표!$K$2:$K$101,MATCH(LEFT(TRIM(J48&amp;""),FIND(" ",TRIM(J48&amp;""))-1),코드표!$J$2:$J$101,0))&amp;" "&amp;INDEX(코드표!$G$2:$G$101,MATCH(TRIM(RIGHT(SUBSTITUTE(TRIM(J48&amp;"")," ",REPT(" ",60)),60)),코드표!$F$2:$F$101,0)),"⚠"&amp;TRIM(J48&amp;""))),"⚠"&amp;TRIM(J48&amp;""))</f>
        <v/>
      </c>
      <c r="S48" s="11">
        <f>IF(K48="","",IFERROR(IF(AND(ROUND((VALUE(K48&amp;"")-INT(VALUE(K48&amp;"")))*100,0)&gt;=1,ROUND((VALUE(K48&amp;"")-INT(VALUE(K48&amp;"")))*100,0)&lt;=12,INT(VALUE(K48&amp;""))&gt;=1900),DATE(INT(VALUE(K48&amp;"")),ROUND((VALUE(K48&amp;"")-INT(VALUE(K48&amp;"")))*100,0),1),K48&amp;""),K48&amp;""))</f>
        <v/>
      </c>
      <c r="T48" s="10">
        <f>COUNTIF(M48:R48,"⚠*")</f>
        <v/>
      </c>
    </row>
    <row r="49"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M49" s="10">
        <f>IFERROR(IF(TRIM(E49&amp;"")="","",IF(AND(ISNUMBER(FIND(" ",TRIM(E49&amp;""))),ISNUMBER(MATCH(LEFT(TRIM(E49&amp;""),FIND(" ",TRIM(E49&amp;""))-1),코드표!$J$2:$J$101,0)),ISNUMBER(MATCH(TRIM(RIGHT(SUBSTITUTE(TRIM(E49&amp;"")," ",REPT(" ",60)),60)),코드표!$F$2:$F$101,0))),INDEX(코드표!$K$2:$K$101,MATCH(LEFT(TRIM(E49&amp;""),FIND(" ",TRIM(E49&amp;""))-1),코드표!$J$2:$J$101,0))&amp;" "&amp;INDEX(코드표!$G$2:$G$101,MATCH(TRIM(RIGHT(SUBSTITUTE(TRIM(E49&amp;"")," ",REPT(" ",60)),60)),코드표!$F$2:$F$101,0)),"⚠"&amp;TRIM(E49&amp;""))),"⚠"&amp;TRIM(E49&amp;""))</f>
        <v/>
      </c>
      <c r="N49" s="10">
        <f>IFERROR(IF(TRIM(F49&amp;"")="","",IF(AND(ISNUMBER(FIND(" ",TRIM(F49&amp;""))),ISNUMBER(MATCH(LEFT(TRIM(F49&amp;""),FIND(" ",TRIM(F49&amp;""))-1),코드표!$J$2:$J$101,0)),ISNUMBER(MATCH(TRIM(RIGHT(SUBSTITUTE(TRIM(F49&amp;"")," ",REPT(" ",60)),60)),코드표!$F$2:$F$101,0))),INDEX(코드표!$K$2:$K$101,MATCH(LEFT(TRIM(F49&amp;""),FIND(" ",TRIM(F49&amp;""))-1),코드표!$J$2:$J$101,0))&amp;" "&amp;INDEX(코드표!$G$2:$G$101,MATCH(TRIM(RIGHT(SUBSTITUTE(TRIM(F49&amp;"")," ",REPT(" ",60)),60)),코드표!$F$2:$F$101,0)),"⚠"&amp;TRIM(F49&amp;""))),"⚠"&amp;TRIM(F49&amp;""))</f>
        <v/>
      </c>
      <c r="O49" s="10">
        <f>IFERROR(IF(TRIM(G49&amp;"")="","",IF(AND(ISNUMBER(FIND(" ",TRIM(G49&amp;""))),ISNUMBER(MATCH(LEFT(TRIM(G49&amp;""),FIND(" ",TRIM(G49&amp;""))-1),코드표!$J$2:$J$101,0)),ISNUMBER(MATCH(TRIM(RIGHT(SUBSTITUTE(TRIM(G49&amp;"")," ",REPT(" ",60)),60)),코드표!$F$2:$F$101,0))),INDEX(코드표!$K$2:$K$101,MATCH(LEFT(TRIM(G49&amp;""),FIND(" ",TRIM(G49&amp;""))-1),코드표!$J$2:$J$101,0))&amp;" "&amp;INDEX(코드표!$G$2:$G$101,MATCH(TRIM(RIGHT(SUBSTITUTE(TRIM(G49&amp;"")," ",REPT(" ",60)),60)),코드표!$F$2:$F$101,0)),"⚠"&amp;TRIM(G49&amp;""))),"⚠"&amp;TRIM(G49&amp;""))</f>
        <v/>
      </c>
      <c r="P49" s="10">
        <f>IFERROR(IF(TRIM(H49&amp;"")="","",IF(AND(ISNUMBER(FIND(" ",TRIM(H49&amp;""))),ISNUMBER(MATCH(LEFT(TRIM(H49&amp;""),FIND(" ",TRIM(H49&amp;""))-1),코드표!$J$2:$J$101,0)),ISNUMBER(MATCH(TRIM(RIGHT(SUBSTITUTE(TRIM(H49&amp;"")," ",REPT(" ",60)),60)),코드표!$F$2:$F$101,0))),INDEX(코드표!$K$2:$K$101,MATCH(LEFT(TRIM(H49&amp;""),FIND(" ",TRIM(H49&amp;""))-1),코드표!$J$2:$J$101,0))&amp;" "&amp;INDEX(코드표!$G$2:$G$101,MATCH(TRIM(RIGHT(SUBSTITUTE(TRIM(H49&amp;"")," ",REPT(" ",60)),60)),코드표!$F$2:$F$101,0)),"⚠"&amp;TRIM(H49&amp;""))),"⚠"&amp;TRIM(H49&amp;""))</f>
        <v/>
      </c>
      <c r="Q49" s="10">
        <f>IFERROR(IF(TRIM(I49&amp;"")="","",IF(AND(ISNUMBER(FIND(" ",TRIM(I49&amp;""))),ISNUMBER(MATCH(LEFT(TRIM(I49&amp;""),FIND(" ",TRIM(I49&amp;""))-1),코드표!$J$2:$J$101,0)),ISNUMBER(MATCH(TRIM(RIGHT(SUBSTITUTE(TRIM(I49&amp;"")," ",REPT(" ",60)),60)),코드표!$F$2:$F$101,0))),INDEX(코드표!$K$2:$K$101,MATCH(LEFT(TRIM(I49&amp;""),FIND(" ",TRIM(I49&amp;""))-1),코드표!$J$2:$J$101,0))&amp;" "&amp;INDEX(코드표!$G$2:$G$101,MATCH(TRIM(RIGHT(SUBSTITUTE(TRIM(I49&amp;"")," ",REPT(" ",60)),60)),코드표!$F$2:$F$101,0)),"⚠"&amp;TRIM(I49&amp;""))),"⚠"&amp;TRIM(I49&amp;""))</f>
        <v/>
      </c>
      <c r="R49" s="10">
        <f>IFERROR(IF(TRIM(J49&amp;"")="","",IF(AND(ISNUMBER(FIND(" ",TRIM(J49&amp;""))),ISNUMBER(MATCH(LEFT(TRIM(J49&amp;""),FIND(" ",TRIM(J49&amp;""))-1),코드표!$J$2:$J$101,0)),ISNUMBER(MATCH(TRIM(RIGHT(SUBSTITUTE(TRIM(J49&amp;"")," ",REPT(" ",60)),60)),코드표!$F$2:$F$101,0))),INDEX(코드표!$K$2:$K$101,MATCH(LEFT(TRIM(J49&amp;""),FIND(" ",TRIM(J49&amp;""))-1),코드표!$J$2:$J$101,0))&amp;" "&amp;INDEX(코드표!$G$2:$G$101,MATCH(TRIM(RIGHT(SUBSTITUTE(TRIM(J49&amp;"")," ",REPT(" ",60)),60)),코드표!$F$2:$F$101,0)),"⚠"&amp;TRIM(J49&amp;""))),"⚠"&amp;TRIM(J49&amp;""))</f>
        <v/>
      </c>
      <c r="S49" s="11">
        <f>IF(K49="","",IFERROR(IF(AND(ROUND((VALUE(K49&amp;"")-INT(VALUE(K49&amp;"")))*100,0)&gt;=1,ROUND((VALUE(K49&amp;"")-INT(VALUE(K49&amp;"")))*100,0)&lt;=12,INT(VALUE(K49&amp;""))&gt;=1900),DATE(INT(VALUE(K49&amp;"")),ROUND((VALUE(K49&amp;"")-INT(VALUE(K49&amp;"")))*100,0),1),K49&amp;""),K49&amp;""))</f>
        <v/>
      </c>
      <c r="T49" s="10">
        <f>COUNTIF(M49:R49,"⚠*")</f>
        <v/>
      </c>
    </row>
    <row r="50"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M50" s="10">
        <f>IFERROR(IF(TRIM(E50&amp;"")="","",IF(AND(ISNUMBER(FIND(" ",TRIM(E50&amp;""))),ISNUMBER(MATCH(LEFT(TRIM(E50&amp;""),FIND(" ",TRIM(E50&amp;""))-1),코드표!$J$2:$J$101,0)),ISNUMBER(MATCH(TRIM(RIGHT(SUBSTITUTE(TRIM(E50&amp;"")," ",REPT(" ",60)),60)),코드표!$F$2:$F$101,0))),INDEX(코드표!$K$2:$K$101,MATCH(LEFT(TRIM(E50&amp;""),FIND(" ",TRIM(E50&amp;""))-1),코드표!$J$2:$J$101,0))&amp;" "&amp;INDEX(코드표!$G$2:$G$101,MATCH(TRIM(RIGHT(SUBSTITUTE(TRIM(E50&amp;"")," ",REPT(" ",60)),60)),코드표!$F$2:$F$101,0)),"⚠"&amp;TRIM(E50&amp;""))),"⚠"&amp;TRIM(E50&amp;""))</f>
        <v/>
      </c>
      <c r="N50" s="10">
        <f>IFERROR(IF(TRIM(F50&amp;"")="","",IF(AND(ISNUMBER(FIND(" ",TRIM(F50&amp;""))),ISNUMBER(MATCH(LEFT(TRIM(F50&amp;""),FIND(" ",TRIM(F50&amp;""))-1),코드표!$J$2:$J$101,0)),ISNUMBER(MATCH(TRIM(RIGHT(SUBSTITUTE(TRIM(F50&amp;"")," ",REPT(" ",60)),60)),코드표!$F$2:$F$101,0))),INDEX(코드표!$K$2:$K$101,MATCH(LEFT(TRIM(F50&amp;""),FIND(" ",TRIM(F50&amp;""))-1),코드표!$J$2:$J$101,0))&amp;" "&amp;INDEX(코드표!$G$2:$G$101,MATCH(TRIM(RIGHT(SUBSTITUTE(TRIM(F50&amp;"")," ",REPT(" ",60)),60)),코드표!$F$2:$F$101,0)),"⚠"&amp;TRIM(F50&amp;""))),"⚠"&amp;TRIM(F50&amp;""))</f>
        <v/>
      </c>
      <c r="O50" s="10">
        <f>IFERROR(IF(TRIM(G50&amp;"")="","",IF(AND(ISNUMBER(FIND(" ",TRIM(G50&amp;""))),ISNUMBER(MATCH(LEFT(TRIM(G50&amp;""),FIND(" ",TRIM(G50&amp;""))-1),코드표!$J$2:$J$101,0)),ISNUMBER(MATCH(TRIM(RIGHT(SUBSTITUTE(TRIM(G50&amp;"")," ",REPT(" ",60)),60)),코드표!$F$2:$F$101,0))),INDEX(코드표!$K$2:$K$101,MATCH(LEFT(TRIM(G50&amp;""),FIND(" ",TRIM(G50&amp;""))-1),코드표!$J$2:$J$101,0))&amp;" "&amp;INDEX(코드표!$G$2:$G$101,MATCH(TRIM(RIGHT(SUBSTITUTE(TRIM(G50&amp;"")," ",REPT(" ",60)),60)),코드표!$F$2:$F$101,0)),"⚠"&amp;TRIM(G50&amp;""))),"⚠"&amp;TRIM(G50&amp;""))</f>
        <v/>
      </c>
      <c r="P50" s="10">
        <f>IFERROR(IF(TRIM(H50&amp;"")="","",IF(AND(ISNUMBER(FIND(" ",TRIM(H50&amp;""))),ISNUMBER(MATCH(LEFT(TRIM(H50&amp;""),FIND(" ",TRIM(H50&amp;""))-1),코드표!$J$2:$J$101,0)),ISNUMBER(MATCH(TRIM(RIGHT(SUBSTITUTE(TRIM(H50&amp;"")," ",REPT(" ",60)),60)),코드표!$F$2:$F$101,0))),INDEX(코드표!$K$2:$K$101,MATCH(LEFT(TRIM(H50&amp;""),FIND(" ",TRIM(H50&amp;""))-1),코드표!$J$2:$J$101,0))&amp;" "&amp;INDEX(코드표!$G$2:$G$101,MATCH(TRIM(RIGHT(SUBSTITUTE(TRIM(H50&amp;"")," ",REPT(" ",60)),60)),코드표!$F$2:$F$101,0)),"⚠"&amp;TRIM(H50&amp;""))),"⚠"&amp;TRIM(H50&amp;""))</f>
        <v/>
      </c>
      <c r="Q50" s="10">
        <f>IFERROR(IF(TRIM(I50&amp;"")="","",IF(AND(ISNUMBER(FIND(" ",TRIM(I50&amp;""))),ISNUMBER(MATCH(LEFT(TRIM(I50&amp;""),FIND(" ",TRIM(I50&amp;""))-1),코드표!$J$2:$J$101,0)),ISNUMBER(MATCH(TRIM(RIGHT(SUBSTITUTE(TRIM(I50&amp;"")," ",REPT(" ",60)),60)),코드표!$F$2:$F$101,0))),INDEX(코드표!$K$2:$K$101,MATCH(LEFT(TRIM(I50&amp;""),FIND(" ",TRIM(I50&amp;""))-1),코드표!$J$2:$J$101,0))&amp;" "&amp;INDEX(코드표!$G$2:$G$101,MATCH(TRIM(RIGHT(SUBSTITUTE(TRIM(I50&amp;"")," ",REPT(" ",60)),60)),코드표!$F$2:$F$101,0)),"⚠"&amp;TRIM(I50&amp;""))),"⚠"&amp;TRIM(I50&amp;""))</f>
        <v/>
      </c>
      <c r="R50" s="10">
        <f>IFERROR(IF(TRIM(J50&amp;"")="","",IF(AND(ISNUMBER(FIND(" ",TRIM(J50&amp;""))),ISNUMBER(MATCH(LEFT(TRIM(J50&amp;""),FIND(" ",TRIM(J50&amp;""))-1),코드표!$J$2:$J$101,0)),ISNUMBER(MATCH(TRIM(RIGHT(SUBSTITUTE(TRIM(J50&amp;"")," ",REPT(" ",60)),60)),코드표!$F$2:$F$101,0))),INDEX(코드표!$K$2:$K$101,MATCH(LEFT(TRIM(J50&amp;""),FIND(" ",TRIM(J50&amp;""))-1),코드표!$J$2:$J$101,0))&amp;" "&amp;INDEX(코드표!$G$2:$G$101,MATCH(TRIM(RIGHT(SUBSTITUTE(TRIM(J50&amp;"")," ",REPT(" ",60)),60)),코드표!$F$2:$F$101,0)),"⚠"&amp;TRIM(J50&amp;""))),"⚠"&amp;TRIM(J50&amp;""))</f>
        <v/>
      </c>
      <c r="S50" s="11">
        <f>IF(K50="","",IFERROR(IF(AND(ROUND((VALUE(K50&amp;"")-INT(VALUE(K50&amp;"")))*100,0)&gt;=1,ROUND((VALUE(K50&amp;"")-INT(VALUE(K50&amp;"")))*100,0)&lt;=12,INT(VALUE(K50&amp;""))&gt;=1900),DATE(INT(VALUE(K50&amp;"")),ROUND((VALUE(K50&amp;"")-INT(VALUE(K50&amp;"")))*100,0),1),K50&amp;""),K50&amp;""))</f>
        <v/>
      </c>
      <c r="T50" s="10">
        <f>COUNTIF(M50:R50,"⚠*")</f>
        <v/>
      </c>
    </row>
    <row r="51"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M51" s="10">
        <f>IFERROR(IF(TRIM(E51&amp;"")="","",IF(AND(ISNUMBER(FIND(" ",TRIM(E51&amp;""))),ISNUMBER(MATCH(LEFT(TRIM(E51&amp;""),FIND(" ",TRIM(E51&amp;""))-1),코드표!$J$2:$J$101,0)),ISNUMBER(MATCH(TRIM(RIGHT(SUBSTITUTE(TRIM(E51&amp;"")," ",REPT(" ",60)),60)),코드표!$F$2:$F$101,0))),INDEX(코드표!$K$2:$K$101,MATCH(LEFT(TRIM(E51&amp;""),FIND(" ",TRIM(E51&amp;""))-1),코드표!$J$2:$J$101,0))&amp;" "&amp;INDEX(코드표!$G$2:$G$101,MATCH(TRIM(RIGHT(SUBSTITUTE(TRIM(E51&amp;"")," ",REPT(" ",60)),60)),코드표!$F$2:$F$101,0)),"⚠"&amp;TRIM(E51&amp;""))),"⚠"&amp;TRIM(E51&amp;""))</f>
        <v/>
      </c>
      <c r="N51" s="10">
        <f>IFERROR(IF(TRIM(F51&amp;"")="","",IF(AND(ISNUMBER(FIND(" ",TRIM(F51&amp;""))),ISNUMBER(MATCH(LEFT(TRIM(F51&amp;""),FIND(" ",TRIM(F51&amp;""))-1),코드표!$J$2:$J$101,0)),ISNUMBER(MATCH(TRIM(RIGHT(SUBSTITUTE(TRIM(F51&amp;"")," ",REPT(" ",60)),60)),코드표!$F$2:$F$101,0))),INDEX(코드표!$K$2:$K$101,MATCH(LEFT(TRIM(F51&amp;""),FIND(" ",TRIM(F51&amp;""))-1),코드표!$J$2:$J$101,0))&amp;" "&amp;INDEX(코드표!$G$2:$G$101,MATCH(TRIM(RIGHT(SUBSTITUTE(TRIM(F51&amp;"")," ",REPT(" ",60)),60)),코드표!$F$2:$F$101,0)),"⚠"&amp;TRIM(F51&amp;""))),"⚠"&amp;TRIM(F51&amp;""))</f>
        <v/>
      </c>
      <c r="O51" s="10">
        <f>IFERROR(IF(TRIM(G51&amp;"")="","",IF(AND(ISNUMBER(FIND(" ",TRIM(G51&amp;""))),ISNUMBER(MATCH(LEFT(TRIM(G51&amp;""),FIND(" ",TRIM(G51&amp;""))-1),코드표!$J$2:$J$101,0)),ISNUMBER(MATCH(TRIM(RIGHT(SUBSTITUTE(TRIM(G51&amp;"")," ",REPT(" ",60)),60)),코드표!$F$2:$F$101,0))),INDEX(코드표!$K$2:$K$101,MATCH(LEFT(TRIM(G51&amp;""),FIND(" ",TRIM(G51&amp;""))-1),코드표!$J$2:$J$101,0))&amp;" "&amp;INDEX(코드표!$G$2:$G$101,MATCH(TRIM(RIGHT(SUBSTITUTE(TRIM(G51&amp;"")," ",REPT(" ",60)),60)),코드표!$F$2:$F$101,0)),"⚠"&amp;TRIM(G51&amp;""))),"⚠"&amp;TRIM(G51&amp;""))</f>
        <v/>
      </c>
      <c r="P51" s="10">
        <f>IFERROR(IF(TRIM(H51&amp;"")="","",IF(AND(ISNUMBER(FIND(" ",TRIM(H51&amp;""))),ISNUMBER(MATCH(LEFT(TRIM(H51&amp;""),FIND(" ",TRIM(H51&amp;""))-1),코드표!$J$2:$J$101,0)),ISNUMBER(MATCH(TRIM(RIGHT(SUBSTITUTE(TRIM(H51&amp;"")," ",REPT(" ",60)),60)),코드표!$F$2:$F$101,0))),INDEX(코드표!$K$2:$K$101,MATCH(LEFT(TRIM(H51&amp;""),FIND(" ",TRIM(H51&amp;""))-1),코드표!$J$2:$J$101,0))&amp;" "&amp;INDEX(코드표!$G$2:$G$101,MATCH(TRIM(RIGHT(SUBSTITUTE(TRIM(H51&amp;"")," ",REPT(" ",60)),60)),코드표!$F$2:$F$101,0)),"⚠"&amp;TRIM(H51&amp;""))),"⚠"&amp;TRIM(H51&amp;""))</f>
        <v/>
      </c>
      <c r="Q51" s="10">
        <f>IFERROR(IF(TRIM(I51&amp;"")="","",IF(AND(ISNUMBER(FIND(" ",TRIM(I51&amp;""))),ISNUMBER(MATCH(LEFT(TRIM(I51&amp;""),FIND(" ",TRIM(I51&amp;""))-1),코드표!$J$2:$J$101,0)),ISNUMBER(MATCH(TRIM(RIGHT(SUBSTITUTE(TRIM(I51&amp;"")," ",REPT(" ",60)),60)),코드표!$F$2:$F$101,0))),INDEX(코드표!$K$2:$K$101,MATCH(LEFT(TRIM(I51&amp;""),FIND(" ",TRIM(I51&amp;""))-1),코드표!$J$2:$J$101,0))&amp;" "&amp;INDEX(코드표!$G$2:$G$101,MATCH(TRIM(RIGHT(SUBSTITUTE(TRIM(I51&amp;"")," ",REPT(" ",60)),60)),코드표!$F$2:$F$101,0)),"⚠"&amp;TRIM(I51&amp;""))),"⚠"&amp;TRIM(I51&amp;""))</f>
        <v/>
      </c>
      <c r="R51" s="10">
        <f>IFERROR(IF(TRIM(J51&amp;"")="","",IF(AND(ISNUMBER(FIND(" ",TRIM(J51&amp;""))),ISNUMBER(MATCH(LEFT(TRIM(J51&amp;""),FIND(" ",TRIM(J51&amp;""))-1),코드표!$J$2:$J$101,0)),ISNUMBER(MATCH(TRIM(RIGHT(SUBSTITUTE(TRIM(J51&amp;"")," ",REPT(" ",60)),60)),코드표!$F$2:$F$101,0))),INDEX(코드표!$K$2:$K$101,MATCH(LEFT(TRIM(J51&amp;""),FIND(" ",TRIM(J51&amp;""))-1),코드표!$J$2:$J$101,0))&amp;" "&amp;INDEX(코드표!$G$2:$G$101,MATCH(TRIM(RIGHT(SUBSTITUTE(TRIM(J51&amp;"")," ",REPT(" ",60)),60)),코드표!$F$2:$F$101,0)),"⚠"&amp;TRIM(J51&amp;""))),"⚠"&amp;TRIM(J51&amp;""))</f>
        <v/>
      </c>
      <c r="S51" s="11">
        <f>IF(K51="","",IFERROR(IF(AND(ROUND((VALUE(K51&amp;"")-INT(VALUE(K51&amp;"")))*100,0)&gt;=1,ROUND((VALUE(K51&amp;"")-INT(VALUE(K51&amp;"")))*100,0)&lt;=12,INT(VALUE(K51&amp;""))&gt;=1900),DATE(INT(VALUE(K51&amp;"")),ROUND((VALUE(K51&amp;"")-INT(VALUE(K51&amp;"")))*100,0),1),K51&amp;""),K51&amp;""))</f>
        <v/>
      </c>
      <c r="T51" s="10">
        <f>COUNTIF(M51:R51,"⚠*")</f>
        <v/>
      </c>
    </row>
    <row r="52"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M52" s="10">
        <f>IFERROR(IF(TRIM(E52&amp;"")="","",IF(AND(ISNUMBER(FIND(" ",TRIM(E52&amp;""))),ISNUMBER(MATCH(LEFT(TRIM(E52&amp;""),FIND(" ",TRIM(E52&amp;""))-1),코드표!$J$2:$J$101,0)),ISNUMBER(MATCH(TRIM(RIGHT(SUBSTITUTE(TRIM(E52&amp;"")," ",REPT(" ",60)),60)),코드표!$F$2:$F$101,0))),INDEX(코드표!$K$2:$K$101,MATCH(LEFT(TRIM(E52&amp;""),FIND(" ",TRIM(E52&amp;""))-1),코드표!$J$2:$J$101,0))&amp;" "&amp;INDEX(코드표!$G$2:$G$101,MATCH(TRIM(RIGHT(SUBSTITUTE(TRIM(E52&amp;"")," ",REPT(" ",60)),60)),코드표!$F$2:$F$101,0)),"⚠"&amp;TRIM(E52&amp;""))),"⚠"&amp;TRIM(E52&amp;""))</f>
        <v/>
      </c>
      <c r="N52" s="10">
        <f>IFERROR(IF(TRIM(F52&amp;"")="","",IF(AND(ISNUMBER(FIND(" ",TRIM(F52&amp;""))),ISNUMBER(MATCH(LEFT(TRIM(F52&amp;""),FIND(" ",TRIM(F52&amp;""))-1),코드표!$J$2:$J$101,0)),ISNUMBER(MATCH(TRIM(RIGHT(SUBSTITUTE(TRIM(F52&amp;"")," ",REPT(" ",60)),60)),코드표!$F$2:$F$101,0))),INDEX(코드표!$K$2:$K$101,MATCH(LEFT(TRIM(F52&amp;""),FIND(" ",TRIM(F52&amp;""))-1),코드표!$J$2:$J$101,0))&amp;" "&amp;INDEX(코드표!$G$2:$G$101,MATCH(TRIM(RIGHT(SUBSTITUTE(TRIM(F52&amp;"")," ",REPT(" ",60)),60)),코드표!$F$2:$F$101,0)),"⚠"&amp;TRIM(F52&amp;""))),"⚠"&amp;TRIM(F52&amp;""))</f>
        <v/>
      </c>
      <c r="O52" s="10">
        <f>IFERROR(IF(TRIM(G52&amp;"")="","",IF(AND(ISNUMBER(FIND(" ",TRIM(G52&amp;""))),ISNUMBER(MATCH(LEFT(TRIM(G52&amp;""),FIND(" ",TRIM(G52&amp;""))-1),코드표!$J$2:$J$101,0)),ISNUMBER(MATCH(TRIM(RIGHT(SUBSTITUTE(TRIM(G52&amp;"")," ",REPT(" ",60)),60)),코드표!$F$2:$F$101,0))),INDEX(코드표!$K$2:$K$101,MATCH(LEFT(TRIM(G52&amp;""),FIND(" ",TRIM(G52&amp;""))-1),코드표!$J$2:$J$101,0))&amp;" "&amp;INDEX(코드표!$G$2:$G$101,MATCH(TRIM(RIGHT(SUBSTITUTE(TRIM(G52&amp;"")," ",REPT(" ",60)),60)),코드표!$F$2:$F$101,0)),"⚠"&amp;TRIM(G52&amp;""))),"⚠"&amp;TRIM(G52&amp;""))</f>
        <v/>
      </c>
      <c r="P52" s="10">
        <f>IFERROR(IF(TRIM(H52&amp;"")="","",IF(AND(ISNUMBER(FIND(" ",TRIM(H52&amp;""))),ISNUMBER(MATCH(LEFT(TRIM(H52&amp;""),FIND(" ",TRIM(H52&amp;""))-1),코드표!$J$2:$J$101,0)),ISNUMBER(MATCH(TRIM(RIGHT(SUBSTITUTE(TRIM(H52&amp;"")," ",REPT(" ",60)),60)),코드표!$F$2:$F$101,0))),INDEX(코드표!$K$2:$K$101,MATCH(LEFT(TRIM(H52&amp;""),FIND(" ",TRIM(H52&amp;""))-1),코드표!$J$2:$J$101,0))&amp;" "&amp;INDEX(코드표!$G$2:$G$101,MATCH(TRIM(RIGHT(SUBSTITUTE(TRIM(H52&amp;"")," ",REPT(" ",60)),60)),코드표!$F$2:$F$101,0)),"⚠"&amp;TRIM(H52&amp;""))),"⚠"&amp;TRIM(H52&amp;""))</f>
        <v/>
      </c>
      <c r="Q52" s="10">
        <f>IFERROR(IF(TRIM(I52&amp;"")="","",IF(AND(ISNUMBER(FIND(" ",TRIM(I52&amp;""))),ISNUMBER(MATCH(LEFT(TRIM(I52&amp;""),FIND(" ",TRIM(I52&amp;""))-1),코드표!$J$2:$J$101,0)),ISNUMBER(MATCH(TRIM(RIGHT(SUBSTITUTE(TRIM(I52&amp;"")," ",REPT(" ",60)),60)),코드표!$F$2:$F$101,0))),INDEX(코드표!$K$2:$K$101,MATCH(LEFT(TRIM(I52&amp;""),FIND(" ",TRIM(I52&amp;""))-1),코드표!$J$2:$J$101,0))&amp;" "&amp;INDEX(코드표!$G$2:$G$101,MATCH(TRIM(RIGHT(SUBSTITUTE(TRIM(I52&amp;"")," ",REPT(" ",60)),60)),코드표!$F$2:$F$101,0)),"⚠"&amp;TRIM(I52&amp;""))),"⚠"&amp;TRIM(I52&amp;""))</f>
        <v/>
      </c>
      <c r="R52" s="10">
        <f>IFERROR(IF(TRIM(J52&amp;"")="","",IF(AND(ISNUMBER(FIND(" ",TRIM(J52&amp;""))),ISNUMBER(MATCH(LEFT(TRIM(J52&amp;""),FIND(" ",TRIM(J52&amp;""))-1),코드표!$J$2:$J$101,0)),ISNUMBER(MATCH(TRIM(RIGHT(SUBSTITUTE(TRIM(J52&amp;"")," ",REPT(" ",60)),60)),코드표!$F$2:$F$101,0))),INDEX(코드표!$K$2:$K$101,MATCH(LEFT(TRIM(J52&amp;""),FIND(" ",TRIM(J52&amp;""))-1),코드표!$J$2:$J$101,0))&amp;" "&amp;INDEX(코드표!$G$2:$G$101,MATCH(TRIM(RIGHT(SUBSTITUTE(TRIM(J52&amp;"")," ",REPT(" ",60)),60)),코드표!$F$2:$F$101,0)),"⚠"&amp;TRIM(J52&amp;""))),"⚠"&amp;TRIM(J52&amp;""))</f>
        <v/>
      </c>
      <c r="S52" s="11">
        <f>IF(K52="","",IFERROR(IF(AND(ROUND((VALUE(K52&amp;"")-INT(VALUE(K52&amp;"")))*100,0)&gt;=1,ROUND((VALUE(K52&amp;"")-INT(VALUE(K52&amp;"")))*100,0)&lt;=12,INT(VALUE(K52&amp;""))&gt;=1900),DATE(INT(VALUE(K52&amp;"")),ROUND((VALUE(K52&amp;"")-INT(VALUE(K52&amp;"")))*100,0),1),K52&amp;""),K52&amp;""))</f>
        <v/>
      </c>
      <c r="T52" s="10">
        <f>COUNTIF(M52:R52,"⚠*")</f>
        <v/>
      </c>
    </row>
    <row r="53"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M53" s="10">
        <f>IFERROR(IF(TRIM(E53&amp;"")="","",IF(AND(ISNUMBER(FIND(" ",TRIM(E53&amp;""))),ISNUMBER(MATCH(LEFT(TRIM(E53&amp;""),FIND(" ",TRIM(E53&amp;""))-1),코드표!$J$2:$J$101,0)),ISNUMBER(MATCH(TRIM(RIGHT(SUBSTITUTE(TRIM(E53&amp;"")," ",REPT(" ",60)),60)),코드표!$F$2:$F$101,0))),INDEX(코드표!$K$2:$K$101,MATCH(LEFT(TRIM(E53&amp;""),FIND(" ",TRIM(E53&amp;""))-1),코드표!$J$2:$J$101,0))&amp;" "&amp;INDEX(코드표!$G$2:$G$101,MATCH(TRIM(RIGHT(SUBSTITUTE(TRIM(E53&amp;"")," ",REPT(" ",60)),60)),코드표!$F$2:$F$101,0)),"⚠"&amp;TRIM(E53&amp;""))),"⚠"&amp;TRIM(E53&amp;""))</f>
        <v/>
      </c>
      <c r="N53" s="10">
        <f>IFERROR(IF(TRIM(F53&amp;"")="","",IF(AND(ISNUMBER(FIND(" ",TRIM(F53&amp;""))),ISNUMBER(MATCH(LEFT(TRIM(F53&amp;""),FIND(" ",TRIM(F53&amp;""))-1),코드표!$J$2:$J$101,0)),ISNUMBER(MATCH(TRIM(RIGHT(SUBSTITUTE(TRIM(F53&amp;"")," ",REPT(" ",60)),60)),코드표!$F$2:$F$101,0))),INDEX(코드표!$K$2:$K$101,MATCH(LEFT(TRIM(F53&amp;""),FIND(" ",TRIM(F53&amp;""))-1),코드표!$J$2:$J$101,0))&amp;" "&amp;INDEX(코드표!$G$2:$G$101,MATCH(TRIM(RIGHT(SUBSTITUTE(TRIM(F53&amp;"")," ",REPT(" ",60)),60)),코드표!$F$2:$F$101,0)),"⚠"&amp;TRIM(F53&amp;""))),"⚠"&amp;TRIM(F53&amp;""))</f>
        <v/>
      </c>
      <c r="O53" s="10">
        <f>IFERROR(IF(TRIM(G53&amp;"")="","",IF(AND(ISNUMBER(FIND(" ",TRIM(G53&amp;""))),ISNUMBER(MATCH(LEFT(TRIM(G53&amp;""),FIND(" ",TRIM(G53&amp;""))-1),코드표!$J$2:$J$101,0)),ISNUMBER(MATCH(TRIM(RIGHT(SUBSTITUTE(TRIM(G53&amp;"")," ",REPT(" ",60)),60)),코드표!$F$2:$F$101,0))),INDEX(코드표!$K$2:$K$101,MATCH(LEFT(TRIM(G53&amp;""),FIND(" ",TRIM(G53&amp;""))-1),코드표!$J$2:$J$101,0))&amp;" "&amp;INDEX(코드표!$G$2:$G$101,MATCH(TRIM(RIGHT(SUBSTITUTE(TRIM(G53&amp;"")," ",REPT(" ",60)),60)),코드표!$F$2:$F$101,0)),"⚠"&amp;TRIM(G53&amp;""))),"⚠"&amp;TRIM(G53&amp;""))</f>
        <v/>
      </c>
      <c r="P53" s="10">
        <f>IFERROR(IF(TRIM(H53&amp;"")="","",IF(AND(ISNUMBER(FIND(" ",TRIM(H53&amp;""))),ISNUMBER(MATCH(LEFT(TRIM(H53&amp;""),FIND(" ",TRIM(H53&amp;""))-1),코드표!$J$2:$J$101,0)),ISNUMBER(MATCH(TRIM(RIGHT(SUBSTITUTE(TRIM(H53&amp;"")," ",REPT(" ",60)),60)),코드표!$F$2:$F$101,0))),INDEX(코드표!$K$2:$K$101,MATCH(LEFT(TRIM(H53&amp;""),FIND(" ",TRIM(H53&amp;""))-1),코드표!$J$2:$J$101,0))&amp;" "&amp;INDEX(코드표!$G$2:$G$101,MATCH(TRIM(RIGHT(SUBSTITUTE(TRIM(H53&amp;"")," ",REPT(" ",60)),60)),코드표!$F$2:$F$101,0)),"⚠"&amp;TRIM(H53&amp;""))),"⚠"&amp;TRIM(H53&amp;""))</f>
        <v/>
      </c>
      <c r="Q53" s="10">
        <f>IFERROR(IF(TRIM(I53&amp;"")="","",IF(AND(ISNUMBER(FIND(" ",TRIM(I53&amp;""))),ISNUMBER(MATCH(LEFT(TRIM(I53&amp;""),FIND(" ",TRIM(I53&amp;""))-1),코드표!$J$2:$J$101,0)),ISNUMBER(MATCH(TRIM(RIGHT(SUBSTITUTE(TRIM(I53&amp;"")," ",REPT(" ",60)),60)),코드표!$F$2:$F$101,0))),INDEX(코드표!$K$2:$K$101,MATCH(LEFT(TRIM(I53&amp;""),FIND(" ",TRIM(I53&amp;""))-1),코드표!$J$2:$J$101,0))&amp;" "&amp;INDEX(코드표!$G$2:$G$101,MATCH(TRIM(RIGHT(SUBSTITUTE(TRIM(I53&amp;"")," ",REPT(" ",60)),60)),코드표!$F$2:$F$101,0)),"⚠"&amp;TRIM(I53&amp;""))),"⚠"&amp;TRIM(I53&amp;""))</f>
        <v/>
      </c>
      <c r="R53" s="10">
        <f>IFERROR(IF(TRIM(J53&amp;"")="","",IF(AND(ISNUMBER(FIND(" ",TRIM(J53&amp;""))),ISNUMBER(MATCH(LEFT(TRIM(J53&amp;""),FIND(" ",TRIM(J53&amp;""))-1),코드표!$J$2:$J$101,0)),ISNUMBER(MATCH(TRIM(RIGHT(SUBSTITUTE(TRIM(J53&amp;"")," ",REPT(" ",60)),60)),코드표!$F$2:$F$101,0))),INDEX(코드표!$K$2:$K$101,MATCH(LEFT(TRIM(J53&amp;""),FIND(" ",TRIM(J53&amp;""))-1),코드표!$J$2:$J$101,0))&amp;" "&amp;INDEX(코드표!$G$2:$G$101,MATCH(TRIM(RIGHT(SUBSTITUTE(TRIM(J53&amp;"")," ",REPT(" ",60)),60)),코드표!$F$2:$F$101,0)),"⚠"&amp;TRIM(J53&amp;""))),"⚠"&amp;TRIM(J53&amp;""))</f>
        <v/>
      </c>
      <c r="S53" s="11">
        <f>IF(K53="","",IFERROR(IF(AND(ROUND((VALUE(K53&amp;"")-INT(VALUE(K53&amp;"")))*100,0)&gt;=1,ROUND((VALUE(K53&amp;"")-INT(VALUE(K53&amp;"")))*100,0)&lt;=12,INT(VALUE(K53&amp;""))&gt;=1900),DATE(INT(VALUE(K53&amp;"")),ROUND((VALUE(K53&amp;"")-INT(VALUE(K53&amp;"")))*100,0),1),K53&amp;""),K53&amp;""))</f>
        <v/>
      </c>
      <c r="T53" s="10">
        <f>COUNTIF(M53:R53,"⚠*")</f>
        <v/>
      </c>
    </row>
    <row r="54"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M54" s="10">
        <f>IFERROR(IF(TRIM(E54&amp;"")="","",IF(AND(ISNUMBER(FIND(" ",TRIM(E54&amp;""))),ISNUMBER(MATCH(LEFT(TRIM(E54&amp;""),FIND(" ",TRIM(E54&amp;""))-1),코드표!$J$2:$J$101,0)),ISNUMBER(MATCH(TRIM(RIGHT(SUBSTITUTE(TRIM(E54&amp;"")," ",REPT(" ",60)),60)),코드표!$F$2:$F$101,0))),INDEX(코드표!$K$2:$K$101,MATCH(LEFT(TRIM(E54&amp;""),FIND(" ",TRIM(E54&amp;""))-1),코드표!$J$2:$J$101,0))&amp;" "&amp;INDEX(코드표!$G$2:$G$101,MATCH(TRIM(RIGHT(SUBSTITUTE(TRIM(E54&amp;"")," ",REPT(" ",60)),60)),코드표!$F$2:$F$101,0)),"⚠"&amp;TRIM(E54&amp;""))),"⚠"&amp;TRIM(E54&amp;""))</f>
        <v/>
      </c>
      <c r="N54" s="10">
        <f>IFERROR(IF(TRIM(F54&amp;"")="","",IF(AND(ISNUMBER(FIND(" ",TRIM(F54&amp;""))),ISNUMBER(MATCH(LEFT(TRIM(F54&amp;""),FIND(" ",TRIM(F54&amp;""))-1),코드표!$J$2:$J$101,0)),ISNUMBER(MATCH(TRIM(RIGHT(SUBSTITUTE(TRIM(F54&amp;"")," ",REPT(" ",60)),60)),코드표!$F$2:$F$101,0))),INDEX(코드표!$K$2:$K$101,MATCH(LEFT(TRIM(F54&amp;""),FIND(" ",TRIM(F54&amp;""))-1),코드표!$J$2:$J$101,0))&amp;" "&amp;INDEX(코드표!$G$2:$G$101,MATCH(TRIM(RIGHT(SUBSTITUTE(TRIM(F54&amp;"")," ",REPT(" ",60)),60)),코드표!$F$2:$F$101,0)),"⚠"&amp;TRIM(F54&amp;""))),"⚠"&amp;TRIM(F54&amp;""))</f>
        <v/>
      </c>
      <c r="O54" s="10">
        <f>IFERROR(IF(TRIM(G54&amp;"")="","",IF(AND(ISNUMBER(FIND(" ",TRIM(G54&amp;""))),ISNUMBER(MATCH(LEFT(TRIM(G54&amp;""),FIND(" ",TRIM(G54&amp;""))-1),코드표!$J$2:$J$101,0)),ISNUMBER(MATCH(TRIM(RIGHT(SUBSTITUTE(TRIM(G54&amp;"")," ",REPT(" ",60)),60)),코드표!$F$2:$F$101,0))),INDEX(코드표!$K$2:$K$101,MATCH(LEFT(TRIM(G54&amp;""),FIND(" ",TRIM(G54&amp;""))-1),코드표!$J$2:$J$101,0))&amp;" "&amp;INDEX(코드표!$G$2:$G$101,MATCH(TRIM(RIGHT(SUBSTITUTE(TRIM(G54&amp;"")," ",REPT(" ",60)),60)),코드표!$F$2:$F$101,0)),"⚠"&amp;TRIM(G54&amp;""))),"⚠"&amp;TRIM(G54&amp;""))</f>
        <v/>
      </c>
      <c r="P54" s="10">
        <f>IFERROR(IF(TRIM(H54&amp;"")="","",IF(AND(ISNUMBER(FIND(" ",TRIM(H54&amp;""))),ISNUMBER(MATCH(LEFT(TRIM(H54&amp;""),FIND(" ",TRIM(H54&amp;""))-1),코드표!$J$2:$J$101,0)),ISNUMBER(MATCH(TRIM(RIGHT(SUBSTITUTE(TRIM(H54&amp;"")," ",REPT(" ",60)),60)),코드표!$F$2:$F$101,0))),INDEX(코드표!$K$2:$K$101,MATCH(LEFT(TRIM(H54&amp;""),FIND(" ",TRIM(H54&amp;""))-1),코드표!$J$2:$J$101,0))&amp;" "&amp;INDEX(코드표!$G$2:$G$101,MATCH(TRIM(RIGHT(SUBSTITUTE(TRIM(H54&amp;"")," ",REPT(" ",60)),60)),코드표!$F$2:$F$101,0)),"⚠"&amp;TRIM(H54&amp;""))),"⚠"&amp;TRIM(H54&amp;""))</f>
        <v/>
      </c>
      <c r="Q54" s="10">
        <f>IFERROR(IF(TRIM(I54&amp;"")="","",IF(AND(ISNUMBER(FIND(" ",TRIM(I54&amp;""))),ISNUMBER(MATCH(LEFT(TRIM(I54&amp;""),FIND(" ",TRIM(I54&amp;""))-1),코드표!$J$2:$J$101,0)),ISNUMBER(MATCH(TRIM(RIGHT(SUBSTITUTE(TRIM(I54&amp;"")," ",REPT(" ",60)),60)),코드표!$F$2:$F$101,0))),INDEX(코드표!$K$2:$K$101,MATCH(LEFT(TRIM(I54&amp;""),FIND(" ",TRIM(I54&amp;""))-1),코드표!$J$2:$J$101,0))&amp;" "&amp;INDEX(코드표!$G$2:$G$101,MATCH(TRIM(RIGHT(SUBSTITUTE(TRIM(I54&amp;"")," ",REPT(" ",60)),60)),코드표!$F$2:$F$101,0)),"⚠"&amp;TRIM(I54&amp;""))),"⚠"&amp;TRIM(I54&amp;""))</f>
        <v/>
      </c>
      <c r="R54" s="10">
        <f>IFERROR(IF(TRIM(J54&amp;"")="","",IF(AND(ISNUMBER(FIND(" ",TRIM(J54&amp;""))),ISNUMBER(MATCH(LEFT(TRIM(J54&amp;""),FIND(" ",TRIM(J54&amp;""))-1),코드표!$J$2:$J$101,0)),ISNUMBER(MATCH(TRIM(RIGHT(SUBSTITUTE(TRIM(J54&amp;"")," ",REPT(" ",60)),60)),코드표!$F$2:$F$101,0))),INDEX(코드표!$K$2:$K$101,MATCH(LEFT(TRIM(J54&amp;""),FIND(" ",TRIM(J54&amp;""))-1),코드표!$J$2:$J$101,0))&amp;" "&amp;INDEX(코드표!$G$2:$G$101,MATCH(TRIM(RIGHT(SUBSTITUTE(TRIM(J54&amp;"")," ",REPT(" ",60)),60)),코드표!$F$2:$F$101,0)),"⚠"&amp;TRIM(J54&amp;""))),"⚠"&amp;TRIM(J54&amp;""))</f>
        <v/>
      </c>
      <c r="S54" s="11">
        <f>IF(K54="","",IFERROR(IF(AND(ROUND((VALUE(K54&amp;"")-INT(VALUE(K54&amp;"")))*100,0)&gt;=1,ROUND((VALUE(K54&amp;"")-INT(VALUE(K54&amp;"")))*100,0)&lt;=12,INT(VALUE(K54&amp;""))&gt;=1900),DATE(INT(VALUE(K54&amp;"")),ROUND((VALUE(K54&amp;"")-INT(VALUE(K54&amp;"")))*100,0),1),K54&amp;""),K54&amp;""))</f>
        <v/>
      </c>
      <c r="T54" s="10">
        <f>COUNTIF(M54:R54,"⚠*")</f>
        <v/>
      </c>
    </row>
    <row r="55"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M55" s="10">
        <f>IFERROR(IF(TRIM(E55&amp;"")="","",IF(AND(ISNUMBER(FIND(" ",TRIM(E55&amp;""))),ISNUMBER(MATCH(LEFT(TRIM(E55&amp;""),FIND(" ",TRIM(E55&amp;""))-1),코드표!$J$2:$J$101,0)),ISNUMBER(MATCH(TRIM(RIGHT(SUBSTITUTE(TRIM(E55&amp;"")," ",REPT(" ",60)),60)),코드표!$F$2:$F$101,0))),INDEX(코드표!$K$2:$K$101,MATCH(LEFT(TRIM(E55&amp;""),FIND(" ",TRIM(E55&amp;""))-1),코드표!$J$2:$J$101,0))&amp;" "&amp;INDEX(코드표!$G$2:$G$101,MATCH(TRIM(RIGHT(SUBSTITUTE(TRIM(E55&amp;"")," ",REPT(" ",60)),60)),코드표!$F$2:$F$101,0)),"⚠"&amp;TRIM(E55&amp;""))),"⚠"&amp;TRIM(E55&amp;""))</f>
        <v/>
      </c>
      <c r="N55" s="10">
        <f>IFERROR(IF(TRIM(F55&amp;"")="","",IF(AND(ISNUMBER(FIND(" ",TRIM(F55&amp;""))),ISNUMBER(MATCH(LEFT(TRIM(F55&amp;""),FIND(" ",TRIM(F55&amp;""))-1),코드표!$J$2:$J$101,0)),ISNUMBER(MATCH(TRIM(RIGHT(SUBSTITUTE(TRIM(F55&amp;"")," ",REPT(" ",60)),60)),코드표!$F$2:$F$101,0))),INDEX(코드표!$K$2:$K$101,MATCH(LEFT(TRIM(F55&amp;""),FIND(" ",TRIM(F55&amp;""))-1),코드표!$J$2:$J$101,0))&amp;" "&amp;INDEX(코드표!$G$2:$G$101,MATCH(TRIM(RIGHT(SUBSTITUTE(TRIM(F55&amp;"")," ",REPT(" ",60)),60)),코드표!$F$2:$F$101,0)),"⚠"&amp;TRIM(F55&amp;""))),"⚠"&amp;TRIM(F55&amp;""))</f>
        <v/>
      </c>
      <c r="O55" s="10">
        <f>IFERROR(IF(TRIM(G55&amp;"")="","",IF(AND(ISNUMBER(FIND(" ",TRIM(G55&amp;""))),ISNUMBER(MATCH(LEFT(TRIM(G55&amp;""),FIND(" ",TRIM(G55&amp;""))-1),코드표!$J$2:$J$101,0)),ISNUMBER(MATCH(TRIM(RIGHT(SUBSTITUTE(TRIM(G55&amp;"")," ",REPT(" ",60)),60)),코드표!$F$2:$F$101,0))),INDEX(코드표!$K$2:$K$101,MATCH(LEFT(TRIM(G55&amp;""),FIND(" ",TRIM(G55&amp;""))-1),코드표!$J$2:$J$101,0))&amp;" "&amp;INDEX(코드표!$G$2:$G$101,MATCH(TRIM(RIGHT(SUBSTITUTE(TRIM(G55&amp;"")," ",REPT(" ",60)),60)),코드표!$F$2:$F$101,0)),"⚠"&amp;TRIM(G55&amp;""))),"⚠"&amp;TRIM(G55&amp;""))</f>
        <v/>
      </c>
      <c r="P55" s="10">
        <f>IFERROR(IF(TRIM(H55&amp;"")="","",IF(AND(ISNUMBER(FIND(" ",TRIM(H55&amp;""))),ISNUMBER(MATCH(LEFT(TRIM(H55&amp;""),FIND(" ",TRIM(H55&amp;""))-1),코드표!$J$2:$J$101,0)),ISNUMBER(MATCH(TRIM(RIGHT(SUBSTITUTE(TRIM(H55&amp;"")," ",REPT(" ",60)),60)),코드표!$F$2:$F$101,0))),INDEX(코드표!$K$2:$K$101,MATCH(LEFT(TRIM(H55&amp;""),FIND(" ",TRIM(H55&amp;""))-1),코드표!$J$2:$J$101,0))&amp;" "&amp;INDEX(코드표!$G$2:$G$101,MATCH(TRIM(RIGHT(SUBSTITUTE(TRIM(H55&amp;"")," ",REPT(" ",60)),60)),코드표!$F$2:$F$101,0)),"⚠"&amp;TRIM(H55&amp;""))),"⚠"&amp;TRIM(H55&amp;""))</f>
        <v/>
      </c>
      <c r="Q55" s="10">
        <f>IFERROR(IF(TRIM(I55&amp;"")="","",IF(AND(ISNUMBER(FIND(" ",TRIM(I55&amp;""))),ISNUMBER(MATCH(LEFT(TRIM(I55&amp;""),FIND(" ",TRIM(I55&amp;""))-1),코드표!$J$2:$J$101,0)),ISNUMBER(MATCH(TRIM(RIGHT(SUBSTITUTE(TRIM(I55&amp;"")," ",REPT(" ",60)),60)),코드표!$F$2:$F$101,0))),INDEX(코드표!$K$2:$K$101,MATCH(LEFT(TRIM(I55&amp;""),FIND(" ",TRIM(I55&amp;""))-1),코드표!$J$2:$J$101,0))&amp;" "&amp;INDEX(코드표!$G$2:$G$101,MATCH(TRIM(RIGHT(SUBSTITUTE(TRIM(I55&amp;"")," ",REPT(" ",60)),60)),코드표!$F$2:$F$101,0)),"⚠"&amp;TRIM(I55&amp;""))),"⚠"&amp;TRIM(I55&amp;""))</f>
        <v/>
      </c>
      <c r="R55" s="10">
        <f>IFERROR(IF(TRIM(J55&amp;"")="","",IF(AND(ISNUMBER(FIND(" ",TRIM(J55&amp;""))),ISNUMBER(MATCH(LEFT(TRIM(J55&amp;""),FIND(" ",TRIM(J55&amp;""))-1),코드표!$J$2:$J$101,0)),ISNUMBER(MATCH(TRIM(RIGHT(SUBSTITUTE(TRIM(J55&amp;"")," ",REPT(" ",60)),60)),코드표!$F$2:$F$101,0))),INDEX(코드표!$K$2:$K$101,MATCH(LEFT(TRIM(J55&amp;""),FIND(" ",TRIM(J55&amp;""))-1),코드표!$J$2:$J$101,0))&amp;" "&amp;INDEX(코드표!$G$2:$G$101,MATCH(TRIM(RIGHT(SUBSTITUTE(TRIM(J55&amp;"")," ",REPT(" ",60)),60)),코드표!$F$2:$F$101,0)),"⚠"&amp;TRIM(J55&amp;""))),"⚠"&amp;TRIM(J55&amp;""))</f>
        <v/>
      </c>
      <c r="S55" s="11">
        <f>IF(K55="","",IFERROR(IF(AND(ROUND((VALUE(K55&amp;"")-INT(VALUE(K55&amp;"")))*100,0)&gt;=1,ROUND((VALUE(K55&amp;"")-INT(VALUE(K55&amp;"")))*100,0)&lt;=12,INT(VALUE(K55&amp;""))&gt;=1900),DATE(INT(VALUE(K55&amp;"")),ROUND((VALUE(K55&amp;"")-INT(VALUE(K55&amp;"")))*100,0),1),K55&amp;""),K55&amp;""))</f>
        <v/>
      </c>
      <c r="T55" s="10">
        <f>COUNTIF(M55:R55,"⚠*")</f>
        <v/>
      </c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M56" s="10">
        <f>IFERROR(IF(TRIM(E56&amp;"")="","",IF(AND(ISNUMBER(FIND(" ",TRIM(E56&amp;""))),ISNUMBER(MATCH(LEFT(TRIM(E56&amp;""),FIND(" ",TRIM(E56&amp;""))-1),코드표!$J$2:$J$101,0)),ISNUMBER(MATCH(TRIM(RIGHT(SUBSTITUTE(TRIM(E56&amp;"")," ",REPT(" ",60)),60)),코드표!$F$2:$F$101,0))),INDEX(코드표!$K$2:$K$101,MATCH(LEFT(TRIM(E56&amp;""),FIND(" ",TRIM(E56&amp;""))-1),코드표!$J$2:$J$101,0))&amp;" "&amp;INDEX(코드표!$G$2:$G$101,MATCH(TRIM(RIGHT(SUBSTITUTE(TRIM(E56&amp;"")," ",REPT(" ",60)),60)),코드표!$F$2:$F$101,0)),"⚠"&amp;TRIM(E56&amp;""))),"⚠"&amp;TRIM(E56&amp;""))</f>
        <v/>
      </c>
      <c r="N56" s="10">
        <f>IFERROR(IF(TRIM(F56&amp;"")="","",IF(AND(ISNUMBER(FIND(" ",TRIM(F56&amp;""))),ISNUMBER(MATCH(LEFT(TRIM(F56&amp;""),FIND(" ",TRIM(F56&amp;""))-1),코드표!$J$2:$J$101,0)),ISNUMBER(MATCH(TRIM(RIGHT(SUBSTITUTE(TRIM(F56&amp;"")," ",REPT(" ",60)),60)),코드표!$F$2:$F$101,0))),INDEX(코드표!$K$2:$K$101,MATCH(LEFT(TRIM(F56&amp;""),FIND(" ",TRIM(F56&amp;""))-1),코드표!$J$2:$J$101,0))&amp;" "&amp;INDEX(코드표!$G$2:$G$101,MATCH(TRIM(RIGHT(SUBSTITUTE(TRIM(F56&amp;"")," ",REPT(" ",60)),60)),코드표!$F$2:$F$101,0)),"⚠"&amp;TRIM(F56&amp;""))),"⚠"&amp;TRIM(F56&amp;""))</f>
        <v/>
      </c>
      <c r="O56" s="10">
        <f>IFERROR(IF(TRIM(G56&amp;"")="","",IF(AND(ISNUMBER(FIND(" ",TRIM(G56&amp;""))),ISNUMBER(MATCH(LEFT(TRIM(G56&amp;""),FIND(" ",TRIM(G56&amp;""))-1),코드표!$J$2:$J$101,0)),ISNUMBER(MATCH(TRIM(RIGHT(SUBSTITUTE(TRIM(G56&amp;"")," ",REPT(" ",60)),60)),코드표!$F$2:$F$101,0))),INDEX(코드표!$K$2:$K$101,MATCH(LEFT(TRIM(G56&amp;""),FIND(" ",TRIM(G56&amp;""))-1),코드표!$J$2:$J$101,0))&amp;" "&amp;INDEX(코드표!$G$2:$G$101,MATCH(TRIM(RIGHT(SUBSTITUTE(TRIM(G56&amp;"")," ",REPT(" ",60)),60)),코드표!$F$2:$F$101,0)),"⚠"&amp;TRIM(G56&amp;""))),"⚠"&amp;TRIM(G56&amp;""))</f>
        <v/>
      </c>
      <c r="P56" s="10">
        <f>IFERROR(IF(TRIM(H56&amp;"")="","",IF(AND(ISNUMBER(FIND(" ",TRIM(H56&amp;""))),ISNUMBER(MATCH(LEFT(TRIM(H56&amp;""),FIND(" ",TRIM(H56&amp;""))-1),코드표!$J$2:$J$101,0)),ISNUMBER(MATCH(TRIM(RIGHT(SUBSTITUTE(TRIM(H56&amp;"")," ",REPT(" ",60)),60)),코드표!$F$2:$F$101,0))),INDEX(코드표!$K$2:$K$101,MATCH(LEFT(TRIM(H56&amp;""),FIND(" ",TRIM(H56&amp;""))-1),코드표!$J$2:$J$101,0))&amp;" "&amp;INDEX(코드표!$G$2:$G$101,MATCH(TRIM(RIGHT(SUBSTITUTE(TRIM(H56&amp;"")," ",REPT(" ",60)),60)),코드표!$F$2:$F$101,0)),"⚠"&amp;TRIM(H56&amp;""))),"⚠"&amp;TRIM(H56&amp;""))</f>
        <v/>
      </c>
      <c r="Q56" s="10">
        <f>IFERROR(IF(TRIM(I56&amp;"")="","",IF(AND(ISNUMBER(FIND(" ",TRIM(I56&amp;""))),ISNUMBER(MATCH(LEFT(TRIM(I56&amp;""),FIND(" ",TRIM(I56&amp;""))-1),코드표!$J$2:$J$101,0)),ISNUMBER(MATCH(TRIM(RIGHT(SUBSTITUTE(TRIM(I56&amp;"")," ",REPT(" ",60)),60)),코드표!$F$2:$F$101,0))),INDEX(코드표!$K$2:$K$101,MATCH(LEFT(TRIM(I56&amp;""),FIND(" ",TRIM(I56&amp;""))-1),코드표!$J$2:$J$101,0))&amp;" "&amp;INDEX(코드표!$G$2:$G$101,MATCH(TRIM(RIGHT(SUBSTITUTE(TRIM(I56&amp;"")," ",REPT(" ",60)),60)),코드표!$F$2:$F$101,0)),"⚠"&amp;TRIM(I56&amp;""))),"⚠"&amp;TRIM(I56&amp;""))</f>
        <v/>
      </c>
      <c r="R56" s="10">
        <f>IFERROR(IF(TRIM(J56&amp;"")="","",IF(AND(ISNUMBER(FIND(" ",TRIM(J56&amp;""))),ISNUMBER(MATCH(LEFT(TRIM(J56&amp;""),FIND(" ",TRIM(J56&amp;""))-1),코드표!$J$2:$J$101,0)),ISNUMBER(MATCH(TRIM(RIGHT(SUBSTITUTE(TRIM(J56&amp;"")," ",REPT(" ",60)),60)),코드표!$F$2:$F$101,0))),INDEX(코드표!$K$2:$K$101,MATCH(LEFT(TRIM(J56&amp;""),FIND(" ",TRIM(J56&amp;""))-1),코드표!$J$2:$J$101,0))&amp;" "&amp;INDEX(코드표!$G$2:$G$101,MATCH(TRIM(RIGHT(SUBSTITUTE(TRIM(J56&amp;"")," ",REPT(" ",60)),60)),코드표!$F$2:$F$101,0)),"⚠"&amp;TRIM(J56&amp;""))),"⚠"&amp;TRIM(J56&amp;""))</f>
        <v/>
      </c>
      <c r="S56" s="11">
        <f>IF(K56="","",IFERROR(IF(AND(ROUND((VALUE(K56&amp;"")-INT(VALUE(K56&amp;"")))*100,0)&gt;=1,ROUND((VALUE(K56&amp;"")-INT(VALUE(K56&amp;"")))*100,0)&lt;=12,INT(VALUE(K56&amp;""))&gt;=1900),DATE(INT(VALUE(K56&amp;"")),ROUND((VALUE(K56&amp;"")-INT(VALUE(K56&amp;"")))*100,0),1),K56&amp;""),K56&amp;""))</f>
        <v/>
      </c>
      <c r="T56" s="10">
        <f>COUNTIF(M56:R56,"⚠*")</f>
        <v/>
      </c>
    </row>
    <row r="57"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M57" s="10">
        <f>IFERROR(IF(TRIM(E57&amp;"")="","",IF(AND(ISNUMBER(FIND(" ",TRIM(E57&amp;""))),ISNUMBER(MATCH(LEFT(TRIM(E57&amp;""),FIND(" ",TRIM(E57&amp;""))-1),코드표!$J$2:$J$101,0)),ISNUMBER(MATCH(TRIM(RIGHT(SUBSTITUTE(TRIM(E57&amp;"")," ",REPT(" ",60)),60)),코드표!$F$2:$F$101,0))),INDEX(코드표!$K$2:$K$101,MATCH(LEFT(TRIM(E57&amp;""),FIND(" ",TRIM(E57&amp;""))-1),코드표!$J$2:$J$101,0))&amp;" "&amp;INDEX(코드표!$G$2:$G$101,MATCH(TRIM(RIGHT(SUBSTITUTE(TRIM(E57&amp;"")," ",REPT(" ",60)),60)),코드표!$F$2:$F$101,0)),"⚠"&amp;TRIM(E57&amp;""))),"⚠"&amp;TRIM(E57&amp;""))</f>
        <v/>
      </c>
      <c r="N57" s="10">
        <f>IFERROR(IF(TRIM(F57&amp;"")="","",IF(AND(ISNUMBER(FIND(" ",TRIM(F57&amp;""))),ISNUMBER(MATCH(LEFT(TRIM(F57&amp;""),FIND(" ",TRIM(F57&amp;""))-1),코드표!$J$2:$J$101,0)),ISNUMBER(MATCH(TRIM(RIGHT(SUBSTITUTE(TRIM(F57&amp;"")," ",REPT(" ",60)),60)),코드표!$F$2:$F$101,0))),INDEX(코드표!$K$2:$K$101,MATCH(LEFT(TRIM(F57&amp;""),FIND(" ",TRIM(F57&amp;""))-1),코드표!$J$2:$J$101,0))&amp;" "&amp;INDEX(코드표!$G$2:$G$101,MATCH(TRIM(RIGHT(SUBSTITUTE(TRIM(F57&amp;"")," ",REPT(" ",60)),60)),코드표!$F$2:$F$101,0)),"⚠"&amp;TRIM(F57&amp;""))),"⚠"&amp;TRIM(F57&amp;""))</f>
        <v/>
      </c>
      <c r="O57" s="10">
        <f>IFERROR(IF(TRIM(G57&amp;"")="","",IF(AND(ISNUMBER(FIND(" ",TRIM(G57&amp;""))),ISNUMBER(MATCH(LEFT(TRIM(G57&amp;""),FIND(" ",TRIM(G57&amp;""))-1),코드표!$J$2:$J$101,0)),ISNUMBER(MATCH(TRIM(RIGHT(SUBSTITUTE(TRIM(G57&amp;"")," ",REPT(" ",60)),60)),코드표!$F$2:$F$101,0))),INDEX(코드표!$K$2:$K$101,MATCH(LEFT(TRIM(G57&amp;""),FIND(" ",TRIM(G57&amp;""))-1),코드표!$J$2:$J$101,0))&amp;" "&amp;INDEX(코드표!$G$2:$G$101,MATCH(TRIM(RIGHT(SUBSTITUTE(TRIM(G57&amp;"")," ",REPT(" ",60)),60)),코드표!$F$2:$F$101,0)),"⚠"&amp;TRIM(G57&amp;""))),"⚠"&amp;TRIM(G57&amp;""))</f>
        <v/>
      </c>
      <c r="P57" s="10">
        <f>IFERROR(IF(TRIM(H57&amp;"")="","",IF(AND(ISNUMBER(FIND(" ",TRIM(H57&amp;""))),ISNUMBER(MATCH(LEFT(TRIM(H57&amp;""),FIND(" ",TRIM(H57&amp;""))-1),코드표!$J$2:$J$101,0)),ISNUMBER(MATCH(TRIM(RIGHT(SUBSTITUTE(TRIM(H57&amp;"")," ",REPT(" ",60)),60)),코드표!$F$2:$F$101,0))),INDEX(코드표!$K$2:$K$101,MATCH(LEFT(TRIM(H57&amp;""),FIND(" ",TRIM(H57&amp;""))-1),코드표!$J$2:$J$101,0))&amp;" "&amp;INDEX(코드표!$G$2:$G$101,MATCH(TRIM(RIGHT(SUBSTITUTE(TRIM(H57&amp;"")," ",REPT(" ",60)),60)),코드표!$F$2:$F$101,0)),"⚠"&amp;TRIM(H57&amp;""))),"⚠"&amp;TRIM(H57&amp;""))</f>
        <v/>
      </c>
      <c r="Q57" s="10">
        <f>IFERROR(IF(TRIM(I57&amp;"")="","",IF(AND(ISNUMBER(FIND(" ",TRIM(I57&amp;""))),ISNUMBER(MATCH(LEFT(TRIM(I57&amp;""),FIND(" ",TRIM(I57&amp;""))-1),코드표!$J$2:$J$101,0)),ISNUMBER(MATCH(TRIM(RIGHT(SUBSTITUTE(TRIM(I57&amp;"")," ",REPT(" ",60)),60)),코드표!$F$2:$F$101,0))),INDEX(코드표!$K$2:$K$101,MATCH(LEFT(TRIM(I57&amp;""),FIND(" ",TRIM(I57&amp;""))-1),코드표!$J$2:$J$101,0))&amp;" "&amp;INDEX(코드표!$G$2:$G$101,MATCH(TRIM(RIGHT(SUBSTITUTE(TRIM(I57&amp;"")," ",REPT(" ",60)),60)),코드표!$F$2:$F$101,0)),"⚠"&amp;TRIM(I57&amp;""))),"⚠"&amp;TRIM(I57&amp;""))</f>
        <v/>
      </c>
      <c r="R57" s="10">
        <f>IFERROR(IF(TRIM(J57&amp;"")="","",IF(AND(ISNUMBER(FIND(" ",TRIM(J57&amp;""))),ISNUMBER(MATCH(LEFT(TRIM(J57&amp;""),FIND(" ",TRIM(J57&amp;""))-1),코드표!$J$2:$J$101,0)),ISNUMBER(MATCH(TRIM(RIGHT(SUBSTITUTE(TRIM(J57&amp;"")," ",REPT(" ",60)),60)),코드표!$F$2:$F$101,0))),INDEX(코드표!$K$2:$K$101,MATCH(LEFT(TRIM(J57&amp;""),FIND(" ",TRIM(J57&amp;""))-1),코드표!$J$2:$J$101,0))&amp;" "&amp;INDEX(코드표!$G$2:$G$101,MATCH(TRIM(RIGHT(SUBSTITUTE(TRIM(J57&amp;"")," ",REPT(" ",60)),60)),코드표!$F$2:$F$101,0)),"⚠"&amp;TRIM(J57&amp;""))),"⚠"&amp;TRIM(J57&amp;""))</f>
        <v/>
      </c>
      <c r="S57" s="11">
        <f>IF(K57="","",IFERROR(IF(AND(ROUND((VALUE(K57&amp;"")-INT(VALUE(K57&amp;"")))*100,0)&gt;=1,ROUND((VALUE(K57&amp;"")-INT(VALUE(K57&amp;"")))*100,0)&lt;=12,INT(VALUE(K57&amp;""))&gt;=1900),DATE(INT(VALUE(K57&amp;"")),ROUND((VALUE(K57&amp;"")-INT(VALUE(K57&amp;"")))*100,0),1),K57&amp;""),K57&amp;""))</f>
        <v/>
      </c>
      <c r="T57" s="10">
        <f>COUNTIF(M57:R57,"⚠*")</f>
        <v/>
      </c>
    </row>
    <row r="58"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M58" s="10">
        <f>IFERROR(IF(TRIM(E58&amp;"")="","",IF(AND(ISNUMBER(FIND(" ",TRIM(E58&amp;""))),ISNUMBER(MATCH(LEFT(TRIM(E58&amp;""),FIND(" ",TRIM(E58&amp;""))-1),코드표!$J$2:$J$101,0)),ISNUMBER(MATCH(TRIM(RIGHT(SUBSTITUTE(TRIM(E58&amp;"")," ",REPT(" ",60)),60)),코드표!$F$2:$F$101,0))),INDEX(코드표!$K$2:$K$101,MATCH(LEFT(TRIM(E58&amp;""),FIND(" ",TRIM(E58&amp;""))-1),코드표!$J$2:$J$101,0))&amp;" "&amp;INDEX(코드표!$G$2:$G$101,MATCH(TRIM(RIGHT(SUBSTITUTE(TRIM(E58&amp;"")," ",REPT(" ",60)),60)),코드표!$F$2:$F$101,0)),"⚠"&amp;TRIM(E58&amp;""))),"⚠"&amp;TRIM(E58&amp;""))</f>
        <v/>
      </c>
      <c r="N58" s="10">
        <f>IFERROR(IF(TRIM(F58&amp;"")="","",IF(AND(ISNUMBER(FIND(" ",TRIM(F58&amp;""))),ISNUMBER(MATCH(LEFT(TRIM(F58&amp;""),FIND(" ",TRIM(F58&amp;""))-1),코드표!$J$2:$J$101,0)),ISNUMBER(MATCH(TRIM(RIGHT(SUBSTITUTE(TRIM(F58&amp;"")," ",REPT(" ",60)),60)),코드표!$F$2:$F$101,0))),INDEX(코드표!$K$2:$K$101,MATCH(LEFT(TRIM(F58&amp;""),FIND(" ",TRIM(F58&amp;""))-1),코드표!$J$2:$J$101,0))&amp;" "&amp;INDEX(코드표!$G$2:$G$101,MATCH(TRIM(RIGHT(SUBSTITUTE(TRIM(F58&amp;"")," ",REPT(" ",60)),60)),코드표!$F$2:$F$101,0)),"⚠"&amp;TRIM(F58&amp;""))),"⚠"&amp;TRIM(F58&amp;""))</f>
        <v/>
      </c>
      <c r="O58" s="10">
        <f>IFERROR(IF(TRIM(G58&amp;"")="","",IF(AND(ISNUMBER(FIND(" ",TRIM(G58&amp;""))),ISNUMBER(MATCH(LEFT(TRIM(G58&amp;""),FIND(" ",TRIM(G58&amp;""))-1),코드표!$J$2:$J$101,0)),ISNUMBER(MATCH(TRIM(RIGHT(SUBSTITUTE(TRIM(G58&amp;"")," ",REPT(" ",60)),60)),코드표!$F$2:$F$101,0))),INDEX(코드표!$K$2:$K$101,MATCH(LEFT(TRIM(G58&amp;""),FIND(" ",TRIM(G58&amp;""))-1),코드표!$J$2:$J$101,0))&amp;" "&amp;INDEX(코드표!$G$2:$G$101,MATCH(TRIM(RIGHT(SUBSTITUTE(TRIM(G58&amp;"")," ",REPT(" ",60)),60)),코드표!$F$2:$F$101,0)),"⚠"&amp;TRIM(G58&amp;""))),"⚠"&amp;TRIM(G58&amp;""))</f>
        <v/>
      </c>
      <c r="P58" s="10">
        <f>IFERROR(IF(TRIM(H58&amp;"")="","",IF(AND(ISNUMBER(FIND(" ",TRIM(H58&amp;""))),ISNUMBER(MATCH(LEFT(TRIM(H58&amp;""),FIND(" ",TRIM(H58&amp;""))-1),코드표!$J$2:$J$101,0)),ISNUMBER(MATCH(TRIM(RIGHT(SUBSTITUTE(TRIM(H58&amp;"")," ",REPT(" ",60)),60)),코드표!$F$2:$F$101,0))),INDEX(코드표!$K$2:$K$101,MATCH(LEFT(TRIM(H58&amp;""),FIND(" ",TRIM(H58&amp;""))-1),코드표!$J$2:$J$101,0))&amp;" "&amp;INDEX(코드표!$G$2:$G$101,MATCH(TRIM(RIGHT(SUBSTITUTE(TRIM(H58&amp;"")," ",REPT(" ",60)),60)),코드표!$F$2:$F$101,0)),"⚠"&amp;TRIM(H58&amp;""))),"⚠"&amp;TRIM(H58&amp;""))</f>
        <v/>
      </c>
      <c r="Q58" s="10">
        <f>IFERROR(IF(TRIM(I58&amp;"")="","",IF(AND(ISNUMBER(FIND(" ",TRIM(I58&amp;""))),ISNUMBER(MATCH(LEFT(TRIM(I58&amp;""),FIND(" ",TRIM(I58&amp;""))-1),코드표!$J$2:$J$101,0)),ISNUMBER(MATCH(TRIM(RIGHT(SUBSTITUTE(TRIM(I58&amp;"")," ",REPT(" ",60)),60)),코드표!$F$2:$F$101,0))),INDEX(코드표!$K$2:$K$101,MATCH(LEFT(TRIM(I58&amp;""),FIND(" ",TRIM(I58&amp;""))-1),코드표!$J$2:$J$101,0))&amp;" "&amp;INDEX(코드표!$G$2:$G$101,MATCH(TRIM(RIGHT(SUBSTITUTE(TRIM(I58&amp;"")," ",REPT(" ",60)),60)),코드표!$F$2:$F$101,0)),"⚠"&amp;TRIM(I58&amp;""))),"⚠"&amp;TRIM(I58&amp;""))</f>
        <v/>
      </c>
      <c r="R58" s="10">
        <f>IFERROR(IF(TRIM(J58&amp;"")="","",IF(AND(ISNUMBER(FIND(" ",TRIM(J58&amp;""))),ISNUMBER(MATCH(LEFT(TRIM(J58&amp;""),FIND(" ",TRIM(J58&amp;""))-1),코드표!$J$2:$J$101,0)),ISNUMBER(MATCH(TRIM(RIGHT(SUBSTITUTE(TRIM(J58&amp;"")," ",REPT(" ",60)),60)),코드표!$F$2:$F$101,0))),INDEX(코드표!$K$2:$K$101,MATCH(LEFT(TRIM(J58&amp;""),FIND(" ",TRIM(J58&amp;""))-1),코드표!$J$2:$J$101,0))&amp;" "&amp;INDEX(코드표!$G$2:$G$101,MATCH(TRIM(RIGHT(SUBSTITUTE(TRIM(J58&amp;"")," ",REPT(" ",60)),60)),코드표!$F$2:$F$101,0)),"⚠"&amp;TRIM(J58&amp;""))),"⚠"&amp;TRIM(J58&amp;""))</f>
        <v/>
      </c>
      <c r="S58" s="11">
        <f>IF(K58="","",IFERROR(IF(AND(ROUND((VALUE(K58&amp;"")-INT(VALUE(K58&amp;"")))*100,0)&gt;=1,ROUND((VALUE(K58&amp;"")-INT(VALUE(K58&amp;"")))*100,0)&lt;=12,INT(VALUE(K58&amp;""))&gt;=1900),DATE(INT(VALUE(K58&amp;"")),ROUND((VALUE(K58&amp;"")-INT(VALUE(K58&amp;"")))*100,0),1),K58&amp;""),K58&amp;""))</f>
        <v/>
      </c>
      <c r="T58" s="10">
        <f>COUNTIF(M58:R58,"⚠*")</f>
        <v/>
      </c>
    </row>
    <row r="59"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M59" s="10">
        <f>IFERROR(IF(TRIM(E59&amp;"")="","",IF(AND(ISNUMBER(FIND(" ",TRIM(E59&amp;""))),ISNUMBER(MATCH(LEFT(TRIM(E59&amp;""),FIND(" ",TRIM(E59&amp;""))-1),코드표!$J$2:$J$101,0)),ISNUMBER(MATCH(TRIM(RIGHT(SUBSTITUTE(TRIM(E59&amp;"")," ",REPT(" ",60)),60)),코드표!$F$2:$F$101,0))),INDEX(코드표!$K$2:$K$101,MATCH(LEFT(TRIM(E59&amp;""),FIND(" ",TRIM(E59&amp;""))-1),코드표!$J$2:$J$101,0))&amp;" "&amp;INDEX(코드표!$G$2:$G$101,MATCH(TRIM(RIGHT(SUBSTITUTE(TRIM(E59&amp;"")," ",REPT(" ",60)),60)),코드표!$F$2:$F$101,0)),"⚠"&amp;TRIM(E59&amp;""))),"⚠"&amp;TRIM(E59&amp;""))</f>
        <v/>
      </c>
      <c r="N59" s="10">
        <f>IFERROR(IF(TRIM(F59&amp;"")="","",IF(AND(ISNUMBER(FIND(" ",TRIM(F59&amp;""))),ISNUMBER(MATCH(LEFT(TRIM(F59&amp;""),FIND(" ",TRIM(F59&amp;""))-1),코드표!$J$2:$J$101,0)),ISNUMBER(MATCH(TRIM(RIGHT(SUBSTITUTE(TRIM(F59&amp;"")," ",REPT(" ",60)),60)),코드표!$F$2:$F$101,0))),INDEX(코드표!$K$2:$K$101,MATCH(LEFT(TRIM(F59&amp;""),FIND(" ",TRIM(F59&amp;""))-1),코드표!$J$2:$J$101,0))&amp;" "&amp;INDEX(코드표!$G$2:$G$101,MATCH(TRIM(RIGHT(SUBSTITUTE(TRIM(F59&amp;"")," ",REPT(" ",60)),60)),코드표!$F$2:$F$101,0)),"⚠"&amp;TRIM(F59&amp;""))),"⚠"&amp;TRIM(F59&amp;""))</f>
        <v/>
      </c>
      <c r="O59" s="10">
        <f>IFERROR(IF(TRIM(G59&amp;"")="","",IF(AND(ISNUMBER(FIND(" ",TRIM(G59&amp;""))),ISNUMBER(MATCH(LEFT(TRIM(G59&amp;""),FIND(" ",TRIM(G59&amp;""))-1),코드표!$J$2:$J$101,0)),ISNUMBER(MATCH(TRIM(RIGHT(SUBSTITUTE(TRIM(G59&amp;"")," ",REPT(" ",60)),60)),코드표!$F$2:$F$101,0))),INDEX(코드표!$K$2:$K$101,MATCH(LEFT(TRIM(G59&amp;""),FIND(" ",TRIM(G59&amp;""))-1),코드표!$J$2:$J$101,0))&amp;" "&amp;INDEX(코드표!$G$2:$G$101,MATCH(TRIM(RIGHT(SUBSTITUTE(TRIM(G59&amp;"")," ",REPT(" ",60)),60)),코드표!$F$2:$F$101,0)),"⚠"&amp;TRIM(G59&amp;""))),"⚠"&amp;TRIM(G59&amp;""))</f>
        <v/>
      </c>
      <c r="P59" s="10">
        <f>IFERROR(IF(TRIM(H59&amp;"")="","",IF(AND(ISNUMBER(FIND(" ",TRIM(H59&amp;""))),ISNUMBER(MATCH(LEFT(TRIM(H59&amp;""),FIND(" ",TRIM(H59&amp;""))-1),코드표!$J$2:$J$101,0)),ISNUMBER(MATCH(TRIM(RIGHT(SUBSTITUTE(TRIM(H59&amp;"")," ",REPT(" ",60)),60)),코드표!$F$2:$F$101,0))),INDEX(코드표!$K$2:$K$101,MATCH(LEFT(TRIM(H59&amp;""),FIND(" ",TRIM(H59&amp;""))-1),코드표!$J$2:$J$101,0))&amp;" "&amp;INDEX(코드표!$G$2:$G$101,MATCH(TRIM(RIGHT(SUBSTITUTE(TRIM(H59&amp;"")," ",REPT(" ",60)),60)),코드표!$F$2:$F$101,0)),"⚠"&amp;TRIM(H59&amp;""))),"⚠"&amp;TRIM(H59&amp;""))</f>
        <v/>
      </c>
      <c r="Q59" s="10">
        <f>IFERROR(IF(TRIM(I59&amp;"")="","",IF(AND(ISNUMBER(FIND(" ",TRIM(I59&amp;""))),ISNUMBER(MATCH(LEFT(TRIM(I59&amp;""),FIND(" ",TRIM(I59&amp;""))-1),코드표!$J$2:$J$101,0)),ISNUMBER(MATCH(TRIM(RIGHT(SUBSTITUTE(TRIM(I59&amp;"")," ",REPT(" ",60)),60)),코드표!$F$2:$F$101,0))),INDEX(코드표!$K$2:$K$101,MATCH(LEFT(TRIM(I59&amp;""),FIND(" ",TRIM(I59&amp;""))-1),코드표!$J$2:$J$101,0))&amp;" "&amp;INDEX(코드표!$G$2:$G$101,MATCH(TRIM(RIGHT(SUBSTITUTE(TRIM(I59&amp;"")," ",REPT(" ",60)),60)),코드표!$F$2:$F$101,0)),"⚠"&amp;TRIM(I59&amp;""))),"⚠"&amp;TRIM(I59&amp;""))</f>
        <v/>
      </c>
      <c r="R59" s="10">
        <f>IFERROR(IF(TRIM(J59&amp;"")="","",IF(AND(ISNUMBER(FIND(" ",TRIM(J59&amp;""))),ISNUMBER(MATCH(LEFT(TRIM(J59&amp;""),FIND(" ",TRIM(J59&amp;""))-1),코드표!$J$2:$J$101,0)),ISNUMBER(MATCH(TRIM(RIGHT(SUBSTITUTE(TRIM(J59&amp;"")," ",REPT(" ",60)),60)),코드표!$F$2:$F$101,0))),INDEX(코드표!$K$2:$K$101,MATCH(LEFT(TRIM(J59&amp;""),FIND(" ",TRIM(J59&amp;""))-1),코드표!$J$2:$J$101,0))&amp;" "&amp;INDEX(코드표!$G$2:$G$101,MATCH(TRIM(RIGHT(SUBSTITUTE(TRIM(J59&amp;"")," ",REPT(" ",60)),60)),코드표!$F$2:$F$101,0)),"⚠"&amp;TRIM(J59&amp;""))),"⚠"&amp;TRIM(J59&amp;""))</f>
        <v/>
      </c>
      <c r="S59" s="11">
        <f>IF(K59="","",IFERROR(IF(AND(ROUND((VALUE(K59&amp;"")-INT(VALUE(K59&amp;"")))*100,0)&gt;=1,ROUND((VALUE(K59&amp;"")-INT(VALUE(K59&amp;"")))*100,0)&lt;=12,INT(VALUE(K59&amp;""))&gt;=1900),DATE(INT(VALUE(K59&amp;"")),ROUND((VALUE(K59&amp;"")-INT(VALUE(K59&amp;"")))*100,0),1),K59&amp;""),K59&amp;""))</f>
        <v/>
      </c>
      <c r="T59" s="10">
        <f>COUNTIF(M59:R59,"⚠*")</f>
        <v/>
      </c>
    </row>
    <row r="60"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M60" s="10">
        <f>IFERROR(IF(TRIM(E60&amp;"")="","",IF(AND(ISNUMBER(FIND(" ",TRIM(E60&amp;""))),ISNUMBER(MATCH(LEFT(TRIM(E60&amp;""),FIND(" ",TRIM(E60&amp;""))-1),코드표!$J$2:$J$101,0)),ISNUMBER(MATCH(TRIM(RIGHT(SUBSTITUTE(TRIM(E60&amp;"")," ",REPT(" ",60)),60)),코드표!$F$2:$F$101,0))),INDEX(코드표!$K$2:$K$101,MATCH(LEFT(TRIM(E60&amp;""),FIND(" ",TRIM(E60&amp;""))-1),코드표!$J$2:$J$101,0))&amp;" "&amp;INDEX(코드표!$G$2:$G$101,MATCH(TRIM(RIGHT(SUBSTITUTE(TRIM(E60&amp;"")," ",REPT(" ",60)),60)),코드표!$F$2:$F$101,0)),"⚠"&amp;TRIM(E60&amp;""))),"⚠"&amp;TRIM(E60&amp;""))</f>
        <v/>
      </c>
      <c r="N60" s="10">
        <f>IFERROR(IF(TRIM(F60&amp;"")="","",IF(AND(ISNUMBER(FIND(" ",TRIM(F60&amp;""))),ISNUMBER(MATCH(LEFT(TRIM(F60&amp;""),FIND(" ",TRIM(F60&amp;""))-1),코드표!$J$2:$J$101,0)),ISNUMBER(MATCH(TRIM(RIGHT(SUBSTITUTE(TRIM(F60&amp;"")," ",REPT(" ",60)),60)),코드표!$F$2:$F$101,0))),INDEX(코드표!$K$2:$K$101,MATCH(LEFT(TRIM(F60&amp;""),FIND(" ",TRIM(F60&amp;""))-1),코드표!$J$2:$J$101,0))&amp;" "&amp;INDEX(코드표!$G$2:$G$101,MATCH(TRIM(RIGHT(SUBSTITUTE(TRIM(F60&amp;"")," ",REPT(" ",60)),60)),코드표!$F$2:$F$101,0)),"⚠"&amp;TRIM(F60&amp;""))),"⚠"&amp;TRIM(F60&amp;""))</f>
        <v/>
      </c>
      <c r="O60" s="10">
        <f>IFERROR(IF(TRIM(G60&amp;"")="","",IF(AND(ISNUMBER(FIND(" ",TRIM(G60&amp;""))),ISNUMBER(MATCH(LEFT(TRIM(G60&amp;""),FIND(" ",TRIM(G60&amp;""))-1),코드표!$J$2:$J$101,0)),ISNUMBER(MATCH(TRIM(RIGHT(SUBSTITUTE(TRIM(G60&amp;"")," ",REPT(" ",60)),60)),코드표!$F$2:$F$101,0))),INDEX(코드표!$K$2:$K$101,MATCH(LEFT(TRIM(G60&amp;""),FIND(" ",TRIM(G60&amp;""))-1),코드표!$J$2:$J$101,0))&amp;" "&amp;INDEX(코드표!$G$2:$G$101,MATCH(TRIM(RIGHT(SUBSTITUTE(TRIM(G60&amp;"")," ",REPT(" ",60)),60)),코드표!$F$2:$F$101,0)),"⚠"&amp;TRIM(G60&amp;""))),"⚠"&amp;TRIM(G60&amp;""))</f>
        <v/>
      </c>
      <c r="P60" s="10">
        <f>IFERROR(IF(TRIM(H60&amp;"")="","",IF(AND(ISNUMBER(FIND(" ",TRIM(H60&amp;""))),ISNUMBER(MATCH(LEFT(TRIM(H60&amp;""),FIND(" ",TRIM(H60&amp;""))-1),코드표!$J$2:$J$101,0)),ISNUMBER(MATCH(TRIM(RIGHT(SUBSTITUTE(TRIM(H60&amp;"")," ",REPT(" ",60)),60)),코드표!$F$2:$F$101,0))),INDEX(코드표!$K$2:$K$101,MATCH(LEFT(TRIM(H60&amp;""),FIND(" ",TRIM(H60&amp;""))-1),코드표!$J$2:$J$101,0))&amp;" "&amp;INDEX(코드표!$G$2:$G$101,MATCH(TRIM(RIGHT(SUBSTITUTE(TRIM(H60&amp;"")," ",REPT(" ",60)),60)),코드표!$F$2:$F$101,0)),"⚠"&amp;TRIM(H60&amp;""))),"⚠"&amp;TRIM(H60&amp;""))</f>
        <v/>
      </c>
      <c r="Q60" s="10">
        <f>IFERROR(IF(TRIM(I60&amp;"")="","",IF(AND(ISNUMBER(FIND(" ",TRIM(I60&amp;""))),ISNUMBER(MATCH(LEFT(TRIM(I60&amp;""),FIND(" ",TRIM(I60&amp;""))-1),코드표!$J$2:$J$101,0)),ISNUMBER(MATCH(TRIM(RIGHT(SUBSTITUTE(TRIM(I60&amp;"")," ",REPT(" ",60)),60)),코드표!$F$2:$F$101,0))),INDEX(코드표!$K$2:$K$101,MATCH(LEFT(TRIM(I60&amp;""),FIND(" ",TRIM(I60&amp;""))-1),코드표!$J$2:$J$101,0))&amp;" "&amp;INDEX(코드표!$G$2:$G$101,MATCH(TRIM(RIGHT(SUBSTITUTE(TRIM(I60&amp;"")," ",REPT(" ",60)),60)),코드표!$F$2:$F$101,0)),"⚠"&amp;TRIM(I60&amp;""))),"⚠"&amp;TRIM(I60&amp;""))</f>
        <v/>
      </c>
      <c r="R60" s="10">
        <f>IFERROR(IF(TRIM(J60&amp;"")="","",IF(AND(ISNUMBER(FIND(" ",TRIM(J60&amp;""))),ISNUMBER(MATCH(LEFT(TRIM(J60&amp;""),FIND(" ",TRIM(J60&amp;""))-1),코드표!$J$2:$J$101,0)),ISNUMBER(MATCH(TRIM(RIGHT(SUBSTITUTE(TRIM(J60&amp;"")," ",REPT(" ",60)),60)),코드표!$F$2:$F$101,0))),INDEX(코드표!$K$2:$K$101,MATCH(LEFT(TRIM(J60&amp;""),FIND(" ",TRIM(J60&amp;""))-1),코드표!$J$2:$J$101,0))&amp;" "&amp;INDEX(코드표!$G$2:$G$101,MATCH(TRIM(RIGHT(SUBSTITUTE(TRIM(J60&amp;"")," ",REPT(" ",60)),60)),코드표!$F$2:$F$101,0)),"⚠"&amp;TRIM(J60&amp;""))),"⚠"&amp;TRIM(J60&amp;""))</f>
        <v/>
      </c>
      <c r="S60" s="11">
        <f>IF(K60="","",IFERROR(IF(AND(ROUND((VALUE(K60&amp;"")-INT(VALUE(K60&amp;"")))*100,0)&gt;=1,ROUND((VALUE(K60&amp;"")-INT(VALUE(K60&amp;"")))*100,0)&lt;=12,INT(VALUE(K60&amp;""))&gt;=1900),DATE(INT(VALUE(K60&amp;"")),ROUND((VALUE(K60&amp;"")-INT(VALUE(K60&amp;"")))*100,0),1),K60&amp;""),K60&amp;""))</f>
        <v/>
      </c>
      <c r="T60" s="10">
        <f>COUNTIF(M60:R60,"⚠*")</f>
        <v/>
      </c>
    </row>
    <row r="61"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M61" s="10">
        <f>IFERROR(IF(TRIM(E61&amp;"")="","",IF(AND(ISNUMBER(FIND(" ",TRIM(E61&amp;""))),ISNUMBER(MATCH(LEFT(TRIM(E61&amp;""),FIND(" ",TRIM(E61&amp;""))-1),코드표!$J$2:$J$101,0)),ISNUMBER(MATCH(TRIM(RIGHT(SUBSTITUTE(TRIM(E61&amp;"")," ",REPT(" ",60)),60)),코드표!$F$2:$F$101,0))),INDEX(코드표!$K$2:$K$101,MATCH(LEFT(TRIM(E61&amp;""),FIND(" ",TRIM(E61&amp;""))-1),코드표!$J$2:$J$101,0))&amp;" "&amp;INDEX(코드표!$G$2:$G$101,MATCH(TRIM(RIGHT(SUBSTITUTE(TRIM(E61&amp;"")," ",REPT(" ",60)),60)),코드표!$F$2:$F$101,0)),"⚠"&amp;TRIM(E61&amp;""))),"⚠"&amp;TRIM(E61&amp;""))</f>
        <v/>
      </c>
      <c r="N61" s="10">
        <f>IFERROR(IF(TRIM(F61&amp;"")="","",IF(AND(ISNUMBER(FIND(" ",TRIM(F61&amp;""))),ISNUMBER(MATCH(LEFT(TRIM(F61&amp;""),FIND(" ",TRIM(F61&amp;""))-1),코드표!$J$2:$J$101,0)),ISNUMBER(MATCH(TRIM(RIGHT(SUBSTITUTE(TRIM(F61&amp;"")," ",REPT(" ",60)),60)),코드표!$F$2:$F$101,0))),INDEX(코드표!$K$2:$K$101,MATCH(LEFT(TRIM(F61&amp;""),FIND(" ",TRIM(F61&amp;""))-1),코드표!$J$2:$J$101,0))&amp;" "&amp;INDEX(코드표!$G$2:$G$101,MATCH(TRIM(RIGHT(SUBSTITUTE(TRIM(F61&amp;"")," ",REPT(" ",60)),60)),코드표!$F$2:$F$101,0)),"⚠"&amp;TRIM(F61&amp;""))),"⚠"&amp;TRIM(F61&amp;""))</f>
        <v/>
      </c>
      <c r="O61" s="10">
        <f>IFERROR(IF(TRIM(G61&amp;"")="","",IF(AND(ISNUMBER(FIND(" ",TRIM(G61&amp;""))),ISNUMBER(MATCH(LEFT(TRIM(G61&amp;""),FIND(" ",TRIM(G61&amp;""))-1),코드표!$J$2:$J$101,0)),ISNUMBER(MATCH(TRIM(RIGHT(SUBSTITUTE(TRIM(G61&amp;"")," ",REPT(" ",60)),60)),코드표!$F$2:$F$101,0))),INDEX(코드표!$K$2:$K$101,MATCH(LEFT(TRIM(G61&amp;""),FIND(" ",TRIM(G61&amp;""))-1),코드표!$J$2:$J$101,0))&amp;" "&amp;INDEX(코드표!$G$2:$G$101,MATCH(TRIM(RIGHT(SUBSTITUTE(TRIM(G61&amp;"")," ",REPT(" ",60)),60)),코드표!$F$2:$F$101,0)),"⚠"&amp;TRIM(G61&amp;""))),"⚠"&amp;TRIM(G61&amp;""))</f>
        <v/>
      </c>
      <c r="P61" s="10">
        <f>IFERROR(IF(TRIM(H61&amp;"")="","",IF(AND(ISNUMBER(FIND(" ",TRIM(H61&amp;""))),ISNUMBER(MATCH(LEFT(TRIM(H61&amp;""),FIND(" ",TRIM(H61&amp;""))-1),코드표!$J$2:$J$101,0)),ISNUMBER(MATCH(TRIM(RIGHT(SUBSTITUTE(TRIM(H61&amp;"")," ",REPT(" ",60)),60)),코드표!$F$2:$F$101,0))),INDEX(코드표!$K$2:$K$101,MATCH(LEFT(TRIM(H61&amp;""),FIND(" ",TRIM(H61&amp;""))-1),코드표!$J$2:$J$101,0))&amp;" "&amp;INDEX(코드표!$G$2:$G$101,MATCH(TRIM(RIGHT(SUBSTITUTE(TRIM(H61&amp;"")," ",REPT(" ",60)),60)),코드표!$F$2:$F$101,0)),"⚠"&amp;TRIM(H61&amp;""))),"⚠"&amp;TRIM(H61&amp;""))</f>
        <v/>
      </c>
      <c r="Q61" s="10">
        <f>IFERROR(IF(TRIM(I61&amp;"")="","",IF(AND(ISNUMBER(FIND(" ",TRIM(I61&amp;""))),ISNUMBER(MATCH(LEFT(TRIM(I61&amp;""),FIND(" ",TRIM(I61&amp;""))-1),코드표!$J$2:$J$101,0)),ISNUMBER(MATCH(TRIM(RIGHT(SUBSTITUTE(TRIM(I61&amp;"")," ",REPT(" ",60)),60)),코드표!$F$2:$F$101,0))),INDEX(코드표!$K$2:$K$101,MATCH(LEFT(TRIM(I61&amp;""),FIND(" ",TRIM(I61&amp;""))-1),코드표!$J$2:$J$101,0))&amp;" "&amp;INDEX(코드표!$G$2:$G$101,MATCH(TRIM(RIGHT(SUBSTITUTE(TRIM(I61&amp;"")," ",REPT(" ",60)),60)),코드표!$F$2:$F$101,0)),"⚠"&amp;TRIM(I61&amp;""))),"⚠"&amp;TRIM(I61&amp;""))</f>
        <v/>
      </c>
      <c r="R61" s="10">
        <f>IFERROR(IF(TRIM(J61&amp;"")="","",IF(AND(ISNUMBER(FIND(" ",TRIM(J61&amp;""))),ISNUMBER(MATCH(LEFT(TRIM(J61&amp;""),FIND(" ",TRIM(J61&amp;""))-1),코드표!$J$2:$J$101,0)),ISNUMBER(MATCH(TRIM(RIGHT(SUBSTITUTE(TRIM(J61&amp;"")," ",REPT(" ",60)),60)),코드표!$F$2:$F$101,0))),INDEX(코드표!$K$2:$K$101,MATCH(LEFT(TRIM(J61&amp;""),FIND(" ",TRIM(J61&amp;""))-1),코드표!$J$2:$J$101,0))&amp;" "&amp;INDEX(코드표!$G$2:$G$101,MATCH(TRIM(RIGHT(SUBSTITUTE(TRIM(J61&amp;"")," ",REPT(" ",60)),60)),코드표!$F$2:$F$101,0)),"⚠"&amp;TRIM(J61&amp;""))),"⚠"&amp;TRIM(J61&amp;""))</f>
        <v/>
      </c>
      <c r="S61" s="11">
        <f>IF(K61="","",IFERROR(IF(AND(ROUND((VALUE(K61&amp;"")-INT(VALUE(K61&amp;"")))*100,0)&gt;=1,ROUND((VALUE(K61&amp;"")-INT(VALUE(K61&amp;"")))*100,0)&lt;=12,INT(VALUE(K61&amp;""))&gt;=1900),DATE(INT(VALUE(K61&amp;"")),ROUND((VALUE(K61&amp;"")-INT(VALUE(K61&amp;"")))*100,0),1),K61&amp;""),K61&amp;""))</f>
        <v/>
      </c>
      <c r="T61" s="10">
        <f>COUNTIF(M61:R61,"⚠*")</f>
        <v/>
      </c>
    </row>
    <row r="62"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M62" s="10">
        <f>IFERROR(IF(TRIM(E62&amp;"")="","",IF(AND(ISNUMBER(FIND(" ",TRIM(E62&amp;""))),ISNUMBER(MATCH(LEFT(TRIM(E62&amp;""),FIND(" ",TRIM(E62&amp;""))-1),코드표!$J$2:$J$101,0)),ISNUMBER(MATCH(TRIM(RIGHT(SUBSTITUTE(TRIM(E62&amp;"")," ",REPT(" ",60)),60)),코드표!$F$2:$F$101,0))),INDEX(코드표!$K$2:$K$101,MATCH(LEFT(TRIM(E62&amp;""),FIND(" ",TRIM(E62&amp;""))-1),코드표!$J$2:$J$101,0))&amp;" "&amp;INDEX(코드표!$G$2:$G$101,MATCH(TRIM(RIGHT(SUBSTITUTE(TRIM(E62&amp;"")," ",REPT(" ",60)),60)),코드표!$F$2:$F$101,0)),"⚠"&amp;TRIM(E62&amp;""))),"⚠"&amp;TRIM(E62&amp;""))</f>
        <v/>
      </c>
      <c r="N62" s="10">
        <f>IFERROR(IF(TRIM(F62&amp;"")="","",IF(AND(ISNUMBER(FIND(" ",TRIM(F62&amp;""))),ISNUMBER(MATCH(LEFT(TRIM(F62&amp;""),FIND(" ",TRIM(F62&amp;""))-1),코드표!$J$2:$J$101,0)),ISNUMBER(MATCH(TRIM(RIGHT(SUBSTITUTE(TRIM(F62&amp;"")," ",REPT(" ",60)),60)),코드표!$F$2:$F$101,0))),INDEX(코드표!$K$2:$K$101,MATCH(LEFT(TRIM(F62&amp;""),FIND(" ",TRIM(F62&amp;""))-1),코드표!$J$2:$J$101,0))&amp;" "&amp;INDEX(코드표!$G$2:$G$101,MATCH(TRIM(RIGHT(SUBSTITUTE(TRIM(F62&amp;"")," ",REPT(" ",60)),60)),코드표!$F$2:$F$101,0)),"⚠"&amp;TRIM(F62&amp;""))),"⚠"&amp;TRIM(F62&amp;""))</f>
        <v/>
      </c>
      <c r="O62" s="10">
        <f>IFERROR(IF(TRIM(G62&amp;"")="","",IF(AND(ISNUMBER(FIND(" ",TRIM(G62&amp;""))),ISNUMBER(MATCH(LEFT(TRIM(G62&amp;""),FIND(" ",TRIM(G62&amp;""))-1),코드표!$J$2:$J$101,0)),ISNUMBER(MATCH(TRIM(RIGHT(SUBSTITUTE(TRIM(G62&amp;"")," ",REPT(" ",60)),60)),코드표!$F$2:$F$101,0))),INDEX(코드표!$K$2:$K$101,MATCH(LEFT(TRIM(G62&amp;""),FIND(" ",TRIM(G62&amp;""))-1),코드표!$J$2:$J$101,0))&amp;" "&amp;INDEX(코드표!$G$2:$G$101,MATCH(TRIM(RIGHT(SUBSTITUTE(TRIM(G62&amp;"")," ",REPT(" ",60)),60)),코드표!$F$2:$F$101,0)),"⚠"&amp;TRIM(G62&amp;""))),"⚠"&amp;TRIM(G62&amp;""))</f>
        <v/>
      </c>
      <c r="P62" s="10">
        <f>IFERROR(IF(TRIM(H62&amp;"")="","",IF(AND(ISNUMBER(FIND(" ",TRIM(H62&amp;""))),ISNUMBER(MATCH(LEFT(TRIM(H62&amp;""),FIND(" ",TRIM(H62&amp;""))-1),코드표!$J$2:$J$101,0)),ISNUMBER(MATCH(TRIM(RIGHT(SUBSTITUTE(TRIM(H62&amp;"")," ",REPT(" ",60)),60)),코드표!$F$2:$F$101,0))),INDEX(코드표!$K$2:$K$101,MATCH(LEFT(TRIM(H62&amp;""),FIND(" ",TRIM(H62&amp;""))-1),코드표!$J$2:$J$101,0))&amp;" "&amp;INDEX(코드표!$G$2:$G$101,MATCH(TRIM(RIGHT(SUBSTITUTE(TRIM(H62&amp;"")," ",REPT(" ",60)),60)),코드표!$F$2:$F$101,0)),"⚠"&amp;TRIM(H62&amp;""))),"⚠"&amp;TRIM(H62&amp;""))</f>
        <v/>
      </c>
      <c r="Q62" s="10">
        <f>IFERROR(IF(TRIM(I62&amp;"")="","",IF(AND(ISNUMBER(FIND(" ",TRIM(I62&amp;""))),ISNUMBER(MATCH(LEFT(TRIM(I62&amp;""),FIND(" ",TRIM(I62&amp;""))-1),코드표!$J$2:$J$101,0)),ISNUMBER(MATCH(TRIM(RIGHT(SUBSTITUTE(TRIM(I62&amp;"")," ",REPT(" ",60)),60)),코드표!$F$2:$F$101,0))),INDEX(코드표!$K$2:$K$101,MATCH(LEFT(TRIM(I62&amp;""),FIND(" ",TRIM(I62&amp;""))-1),코드표!$J$2:$J$101,0))&amp;" "&amp;INDEX(코드표!$G$2:$G$101,MATCH(TRIM(RIGHT(SUBSTITUTE(TRIM(I62&amp;"")," ",REPT(" ",60)),60)),코드표!$F$2:$F$101,0)),"⚠"&amp;TRIM(I62&amp;""))),"⚠"&amp;TRIM(I62&amp;""))</f>
        <v/>
      </c>
      <c r="R62" s="10">
        <f>IFERROR(IF(TRIM(J62&amp;"")="","",IF(AND(ISNUMBER(FIND(" ",TRIM(J62&amp;""))),ISNUMBER(MATCH(LEFT(TRIM(J62&amp;""),FIND(" ",TRIM(J62&amp;""))-1),코드표!$J$2:$J$101,0)),ISNUMBER(MATCH(TRIM(RIGHT(SUBSTITUTE(TRIM(J62&amp;"")," ",REPT(" ",60)),60)),코드표!$F$2:$F$101,0))),INDEX(코드표!$K$2:$K$101,MATCH(LEFT(TRIM(J62&amp;""),FIND(" ",TRIM(J62&amp;""))-1),코드표!$J$2:$J$101,0))&amp;" "&amp;INDEX(코드표!$G$2:$G$101,MATCH(TRIM(RIGHT(SUBSTITUTE(TRIM(J62&amp;"")," ",REPT(" ",60)),60)),코드표!$F$2:$F$101,0)),"⚠"&amp;TRIM(J62&amp;""))),"⚠"&amp;TRIM(J62&amp;""))</f>
        <v/>
      </c>
      <c r="S62" s="11">
        <f>IF(K62="","",IFERROR(IF(AND(ROUND((VALUE(K62&amp;"")-INT(VALUE(K62&amp;"")))*100,0)&gt;=1,ROUND((VALUE(K62&amp;"")-INT(VALUE(K62&amp;"")))*100,0)&lt;=12,INT(VALUE(K62&amp;""))&gt;=1900),DATE(INT(VALUE(K62&amp;"")),ROUND((VALUE(K62&amp;"")-INT(VALUE(K62&amp;"")))*100,0),1),K62&amp;""),K62&amp;""))</f>
        <v/>
      </c>
      <c r="T62" s="10">
        <f>COUNTIF(M62:R62,"⚠*")</f>
        <v/>
      </c>
    </row>
  </sheetData>
  <mergeCells count="1">
    <mergeCell ref="B1:K1"/>
  </mergeCells>
  <conditionalFormatting sqref="E3:J62">
    <cfRule type="expression" priority="1" dxfId="0">
      <formula>LEFT(M3,1)="⚠"</formula>
    </cfRule>
  </conditionalFormatting>
  <conditionalFormatting sqref="M3:R62">
    <cfRule type="expression" priority="2" dxfId="1">
      <formula>LEFT(M3,1)="⚠"</formula>
    </cfRule>
  </conditionalFormatting>
  <dataValidations count="1">
    <dataValidation sqref="E3:J62" showDropDown="0" showInputMessage="0" showErrorMessage="1" allowBlank="1" errorTitle="등록되지 않은 병원/진료과" error="'지역 진료과' 형식(예: 서울 내과, 제주 산부)으로 입력하세요.&#10;처음 보는 지역이나 진료과(약칭)라면 먼저 '코드표' 시트에 추가한 뒤 다시 입력하세요." type="custom" errorStyle="stop">
      <formula1>AND(ISNUMBER(FIND(" ",TRIM(E3))),ISNUMBER(MATCH(LEFT(TRIM(E3),FIND(" ",TRIM(E3))-1),INDIRECT("코드표!$J$2:$J$101"),0)),ISNUMBER(MATCH(TRIM(RIGHT(SUBSTITUTE(TRIM(E3)," ",REPT(" ",60)),60)),INDIRECT("코드표!$F$2:$F$101"),0)))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3"/>
  <sheetViews>
    <sheetView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4" customWidth="1" min="4" max="4"/>
    <col width="9" customWidth="1" min="5" max="5"/>
    <col width="10" customWidth="1" min="6" max="6"/>
    <col width="11" customWidth="1" min="7" max="7"/>
    <col width="12" customWidth="1" min="8" max="8"/>
    <col width="12" customWidth="1" min="9" max="9"/>
    <col width="9" customWidth="1" min="10" max="10"/>
    <col width="16" customWidth="1" min="11" max="11"/>
    <col width="14" customWidth="1" min="12" max="12"/>
    <col width="14" customWidth="1" min="13" max="13"/>
    <col width="20" customWidth="1" min="14" max="14"/>
    <col width="30" customWidth="1" min="15" max="15"/>
    <col width="3" customWidth="1" min="16" max="16"/>
    <col width="12" customWidth="1" min="17" max="17"/>
    <col width="12" customWidth="1" min="18" max="18"/>
    <col width="13" customWidth="1" min="19" max="19"/>
    <col width="11" customWidth="1" min="20" max="20"/>
    <col width="15" customWidth="1" min="21" max="21"/>
    <col width="9" customWidth="1" min="22" max="22"/>
    <col width="11" customWidth="1" min="23" max="23"/>
    <col width="10" customWidth="1" min="24" max="24"/>
    <col width="16" customWidth="1" min="25" max="25"/>
    <col width="14" customWidth="1" min="26" max="26"/>
    <col width="22" customWidth="1" min="27" max="27"/>
    <col width="12" customWidth="1" min="28" max="28"/>
    <col width="12" customWidth="1" min="29" max="29"/>
    <col width="12" customWidth="1" min="30" max="30"/>
    <col width="14" customWidth="1" min="31" max="31"/>
  </cols>
  <sheetData>
    <row r="1">
      <c r="A1" s="12" t="inlineStr">
        <is>
          <t>연번</t>
        </is>
      </c>
      <c r="B1" s="12" t="inlineStr">
        <is>
          <t>모병원명</t>
        </is>
      </c>
      <c r="C1" s="12" t="inlineStr">
        <is>
          <t>수련
종별
(I/R)</t>
        </is>
      </c>
      <c r="D1" s="12" t="inlineStr">
        <is>
          <t>수련
과목</t>
        </is>
      </c>
      <c r="E1" s="12" t="inlineStr">
        <is>
          <t>연차</t>
        </is>
      </c>
      <c r="F1" s="12" t="inlineStr">
        <is>
          <t>성명</t>
        </is>
      </c>
      <c r="G1" s="12" t="inlineStr">
        <is>
          <t>전공의
등록번호</t>
        </is>
      </c>
      <c r="H1" s="12" t="inlineStr">
        <is>
          <t>파견시작일</t>
        </is>
      </c>
      <c r="I1" s="12" t="inlineStr">
        <is>
          <t>파견종료일</t>
        </is>
      </c>
      <c r="J1" s="12" t="inlineStr">
        <is>
          <t>파견일수</t>
        </is>
      </c>
      <c r="K1" s="12" t="inlineStr">
        <is>
          <t>파견병원</t>
        </is>
      </c>
      <c r="L1" s="12" t="inlineStr">
        <is>
          <t>파견
과목</t>
        </is>
      </c>
      <c r="M1" s="12" t="inlineStr">
        <is>
          <t>파견근거
(모자/통합수련)</t>
        </is>
      </c>
      <c r="N1" s="12" t="inlineStr">
        <is>
          <t>비고</t>
        </is>
      </c>
      <c r="Q1" s="8" t="inlineStr">
        <is>
          <t>↓ 자동 계산 (수정 금지) — 병원/과목은 코드표 기준으로 통일, 인식 불가는 ⚠ 표시</t>
        </is>
      </c>
    </row>
    <row r="2">
      <c r="A2" s="13" t="n"/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</row>
    <row r="3" ht="30" customHeight="1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Q3" s="9" t="inlineStr">
        <is>
          <t>키(등록번호)</t>
        </is>
      </c>
      <c r="R3" s="9" t="inlineStr">
        <is>
          <t>모병원(정규화)</t>
        </is>
      </c>
      <c r="S3" s="9" t="inlineStr">
        <is>
          <t>파견병원(정규화)</t>
        </is>
      </c>
      <c r="T3" s="9" t="inlineStr">
        <is>
          <t>파견근거(정규화)</t>
        </is>
      </c>
      <c r="U3" s="9" t="inlineStr">
        <is>
          <t>파견과목(정규화)</t>
        </is>
      </c>
      <c r="V3" s="9" t="inlineStr">
        <is>
          <t>파견일수(계산)</t>
        </is>
      </c>
      <c r="W3" s="9" t="inlineStr">
        <is>
          <t>급여기준월 겹침일수</t>
        </is>
      </c>
      <c r="X3" s="9" t="inlineStr">
        <is>
          <t>상태</t>
        </is>
      </c>
      <c r="Y3" s="9" t="inlineStr">
        <is>
          <t>키|상태</t>
        </is>
      </c>
      <c r="Z3" s="9" t="inlineStr">
        <is>
          <t>키|기준월</t>
        </is>
      </c>
      <c r="AA3" s="9" t="inlineStr">
        <is>
          <t>입력 오류</t>
        </is>
      </c>
      <c r="AB3" s="9" t="inlineStr">
        <is>
          <t>비고 다기관 시작</t>
        </is>
      </c>
      <c r="AC3" s="9" t="inlineStr">
        <is>
          <t>비고 다기관 종료</t>
        </is>
      </c>
      <c r="AD3" s="9" t="inlineStr">
        <is>
          <t>비고 다기관 기준월 겹침일수</t>
        </is>
      </c>
      <c r="AE3" s="9" t="inlineStr">
        <is>
          <t>키|다기관</t>
        </is>
      </c>
    </row>
    <row r="4">
      <c r="A4" s="15">
        <f>IF(F4="","",ROW()-3)</f>
        <v/>
      </c>
      <c r="B4" s="5" t="inlineStr">
        <is>
          <t>한양대학교병원</t>
        </is>
      </c>
      <c r="C4" s="15" t="inlineStr">
        <is>
          <t>R</t>
        </is>
      </c>
      <c r="D4" s="5" t="inlineStr">
        <is>
          <t>내과</t>
        </is>
      </c>
      <c r="E4" s="15" t="n">
        <v>3</v>
      </c>
      <c r="F4" s="5" t="inlineStr">
        <is>
          <t>박ㅇㅇ</t>
        </is>
      </c>
      <c r="G4" s="6" t="inlineStr">
        <is>
          <t>21-1111</t>
        </is>
      </c>
      <c r="H4" s="16" t="n">
        <v>46144</v>
      </c>
      <c r="I4" s="16" t="n">
        <v>46265</v>
      </c>
      <c r="J4" s="15">
        <f>IF(AND(ISNUMBER(H4),ISNUMBER(I4)),I4-H4+1,"")</f>
        <v/>
      </c>
      <c r="K4" s="5" t="inlineStr">
        <is>
          <t>한양대구리병원</t>
        </is>
      </c>
      <c r="L4" s="5" t="inlineStr">
        <is>
          <t>내과</t>
        </is>
      </c>
      <c r="M4" s="5" t="inlineStr">
        <is>
          <t>모자</t>
        </is>
      </c>
      <c r="N4" s="5" t="n"/>
      <c r="O4" s="5" t="inlineStr">
        <is>
          <t>2026.09.01-2026.09.30 다기관 파견</t>
        </is>
      </c>
      <c r="Q4" s="10">
        <f>IF(TRIM(G4&amp;"")="","",TRIM(G4&amp;""))</f>
        <v/>
      </c>
      <c r="R4" s="10">
        <f>IF(TRIM(B4&amp;"")="","",IFERROR(INDEX(코드표!$K$2:$K$101,MATCH(TRIM(B4&amp;""),코드표!$J$2:$J$101,0)),"⚠"&amp;TRIM(B4&amp;"")))</f>
        <v/>
      </c>
      <c r="S4" s="10">
        <f>IF(TRIM(K4&amp;"")="","",IFERROR(INDEX(코드표!$K$2:$K$101,MATCH(TRIM(K4&amp;""),코드표!$J$2:$J$101,0)),"⚠"&amp;TRIM(K4&amp;"")))</f>
        <v/>
      </c>
      <c r="T4" s="10">
        <f>IF(TRIM(M4&amp;"")="","",IF(ISNUMBER(MATCH(TRIM(M4&amp;""),코드표!$C$2:$C$11,0)),TRIM(M4&amp;""),"⚠"&amp;TRIM(M4&amp;"")))</f>
        <v/>
      </c>
      <c r="U4" s="10">
        <f>IF(TRIM(L4&amp;"")="","",IFERROR(INDEX(코드표!$G$2:$G$101,MATCH(TRIM(L4&amp;""),코드표!$F$2:$F$101,0)),"⚠"&amp;TRIM(L4&amp;"")))</f>
        <v/>
      </c>
      <c r="V4" s="10">
        <f>IF(AND(ISNUMBER(H4),ISNUMBER(I4)),I4-H4+1,"")</f>
        <v/>
      </c>
      <c r="W4" s="17">
        <f>IF(ISNUMBER(H4),MAX(0,MIN(IF(ISNUMBER(I4),I4,EOMONTH(요약!$B$3,0)),EOMONTH(요약!$B$3,0))-MAX(H4,요약!$B$3)+1),0)</f>
        <v/>
      </c>
      <c r="X4" s="10">
        <f>IF(OR(NOT(ISNUMBER(H4)),Q4=""),"",IF(TODAY()&lt;H4,"파견예정",IF(AND(ISNUMBER(I4),TODAY()&gt;I4),"파견종료","파견중")))</f>
        <v/>
      </c>
      <c r="Y4" s="10">
        <f>IF(OR(Q4="",X4=""),"",Q4&amp;"|"&amp;X4)</f>
        <v/>
      </c>
      <c r="Z4" s="10">
        <f>IF(AND(Q4&lt;&gt;"",W4&gt;0),Q4&amp;"|월","")</f>
        <v/>
      </c>
      <c r="AA4" s="10">
        <f>IF(COUNTA(B4:N4)=0,"",IF(Q4="","등록번호 없음",IF(LEFT(R4,1)="⚠","모병원명 미등록",IF(S4="","파견병원 입력",IF(LEFT(S4,1)="⚠","파견병원명 미등록",IF(LEFT(U4,1)="⚠","파견과목 미등록",IF(OR(T4="",LEFT(T4,1)="⚠"),"파견근거 확인",IF(NOT(AND(ISNUMBER(H4),ISNUMBER(I4))),"날짜 형식/누락",IF(I4&lt;H4,"종료일&lt;시작일","")))))))))</f>
        <v/>
      </c>
      <c r="AB4" s="11">
        <f>IF(ISNUMBER(SEARCH("다기관",TRIM(N4&amp;" "&amp;O4))),IFERROR(DATE(VALUE(MID(TRIM(N4&amp;" "&amp;O4),1,4)),VALUE(MID(TRIM(N4&amp;" "&amp;O4),6,2)),VALUE(MID(TRIM(N4&amp;" "&amp;O4),9,2))),IF(ISNUMBER(H4),H4,"")),"")</f>
        <v/>
      </c>
      <c r="AC4" s="11">
        <f>IF(ISNUMBER(SEARCH("다기관",TRIM(N4&amp;" "&amp;O4))),IFERROR(DATE(VALUE(MID(TRIM(N4&amp;" "&amp;O4),12,4)),VALUE(MID(TRIM(N4&amp;" "&amp;O4),17,2)),VALUE(MID(TRIM(N4&amp;" "&amp;O4),20,2))),IF(ISNUMBER(I4),I4,"")),"")</f>
        <v/>
      </c>
      <c r="AD4" s="17">
        <f>IF(AND(ISNUMBER(AB4),ISNUMBER(AC4)),MAX(0,MIN(AC4,EOMONTH(요약!$B$3,0))-MAX(AB4,요약!$B$3)+1),0)</f>
        <v/>
      </c>
      <c r="AE4" s="10">
        <f>IF(AND(Q4&lt;&gt;"",ISNUMBER(AB4)),Q4&amp;"|다기관","")</f>
        <v/>
      </c>
    </row>
    <row r="5">
      <c r="A5" s="15">
        <f>IF(F5="","",ROW()-3)</f>
        <v/>
      </c>
      <c r="B5" s="5" t="inlineStr">
        <is>
          <t>한양대학교병원</t>
        </is>
      </c>
      <c r="C5" s="15" t="inlineStr">
        <is>
          <t>R</t>
        </is>
      </c>
      <c r="D5" s="5" t="inlineStr">
        <is>
          <t>내과</t>
        </is>
      </c>
      <c r="E5" s="15" t="n">
        <v>3</v>
      </c>
      <c r="F5" s="5" t="inlineStr">
        <is>
          <t>박ㅇㅇ</t>
        </is>
      </c>
      <c r="G5" s="6" t="inlineStr">
        <is>
          <t>21-1111</t>
        </is>
      </c>
      <c r="H5" s="16" t="n">
        <v>46296</v>
      </c>
      <c r="I5" s="16" t="n">
        <v>46326</v>
      </c>
      <c r="J5" s="15">
        <f>IF(AND(ISNUMBER(H5),ISNUMBER(I5)),I5-H5+1,"")</f>
        <v/>
      </c>
      <c r="K5" s="5" t="inlineStr">
        <is>
          <t>한양대구리병원</t>
        </is>
      </c>
      <c r="L5" s="5" t="inlineStr">
        <is>
          <t>내과</t>
        </is>
      </c>
      <c r="M5" s="5" t="inlineStr">
        <is>
          <t>모자</t>
        </is>
      </c>
      <c r="N5" s="5" t="n"/>
      <c r="O5" s="5" t="n"/>
      <c r="Q5" s="10">
        <f>IF(TRIM(G5&amp;"")="","",TRIM(G5&amp;""))</f>
        <v/>
      </c>
      <c r="R5" s="10">
        <f>IF(TRIM(B5&amp;"")="","",IFERROR(INDEX(코드표!$K$2:$K$101,MATCH(TRIM(B5&amp;""),코드표!$J$2:$J$101,0)),"⚠"&amp;TRIM(B5&amp;"")))</f>
        <v/>
      </c>
      <c r="S5" s="10">
        <f>IF(TRIM(K5&amp;"")="","",IFERROR(INDEX(코드표!$K$2:$K$101,MATCH(TRIM(K5&amp;""),코드표!$J$2:$J$101,0)),"⚠"&amp;TRIM(K5&amp;"")))</f>
        <v/>
      </c>
      <c r="T5" s="10">
        <f>IF(TRIM(M5&amp;"")="","",IF(ISNUMBER(MATCH(TRIM(M5&amp;""),코드표!$C$2:$C$11,0)),TRIM(M5&amp;""),"⚠"&amp;TRIM(M5&amp;"")))</f>
        <v/>
      </c>
      <c r="U5" s="10">
        <f>IF(TRIM(L5&amp;"")="","",IFERROR(INDEX(코드표!$G$2:$G$101,MATCH(TRIM(L5&amp;""),코드표!$F$2:$F$101,0)),"⚠"&amp;TRIM(L5&amp;"")))</f>
        <v/>
      </c>
      <c r="V5" s="10">
        <f>IF(AND(ISNUMBER(H5),ISNUMBER(I5)),I5-H5+1,"")</f>
        <v/>
      </c>
      <c r="W5" s="17">
        <f>IF(ISNUMBER(H5),MAX(0,MIN(IF(ISNUMBER(I5),I5,EOMONTH(요약!$B$3,0)),EOMONTH(요약!$B$3,0))-MAX(H5,요약!$B$3)+1),0)</f>
        <v/>
      </c>
      <c r="X5" s="10">
        <f>IF(OR(NOT(ISNUMBER(H5)),Q5=""),"",IF(TODAY()&lt;H5,"파견예정",IF(AND(ISNUMBER(I5),TODAY()&gt;I5),"파견종료","파견중")))</f>
        <v/>
      </c>
      <c r="Y5" s="10">
        <f>IF(OR(Q5="",X5=""),"",Q5&amp;"|"&amp;X5)</f>
        <v/>
      </c>
      <c r="Z5" s="10">
        <f>IF(AND(Q5&lt;&gt;"",W5&gt;0),Q5&amp;"|월","")</f>
        <v/>
      </c>
      <c r="AA5" s="10">
        <f>IF(COUNTA(B5:N5)=0,"",IF(Q5="","등록번호 없음",IF(LEFT(R5,1)="⚠","모병원명 미등록",IF(S5="","파견병원 입력",IF(LEFT(S5,1)="⚠","파견병원명 미등록",IF(LEFT(U5,1)="⚠","파견과목 미등록",IF(OR(T5="",LEFT(T5,1)="⚠"),"파견근거 확인",IF(NOT(AND(ISNUMBER(H5),ISNUMBER(I5))),"날짜 형식/누락",IF(I5&lt;H5,"종료일&lt;시작일","")))))))))</f>
        <v/>
      </c>
      <c r="AB5" s="11">
        <f>IF(ISNUMBER(SEARCH("다기관",TRIM(N5&amp;" "&amp;O5))),IFERROR(DATE(VALUE(MID(TRIM(N5&amp;" "&amp;O5),1,4)),VALUE(MID(TRIM(N5&amp;" "&amp;O5),6,2)),VALUE(MID(TRIM(N5&amp;" "&amp;O5),9,2))),IF(ISNUMBER(H5),H5,"")),"")</f>
        <v/>
      </c>
      <c r="AC5" s="11">
        <f>IF(ISNUMBER(SEARCH("다기관",TRIM(N5&amp;" "&amp;O5))),IFERROR(DATE(VALUE(MID(TRIM(N5&amp;" "&amp;O5),12,4)),VALUE(MID(TRIM(N5&amp;" "&amp;O5),17,2)),VALUE(MID(TRIM(N5&amp;" "&amp;O5),20,2))),IF(ISNUMBER(I5),I5,"")),"")</f>
        <v/>
      </c>
      <c r="AD5" s="17">
        <f>IF(AND(ISNUMBER(AB5),ISNUMBER(AC5)),MAX(0,MIN(AC5,EOMONTH(요약!$B$3,0))-MAX(AB5,요약!$B$3)+1),0)</f>
        <v/>
      </c>
      <c r="AE5" s="10">
        <f>IF(AND(Q5&lt;&gt;"",ISNUMBER(AB5)),Q5&amp;"|다기관","")</f>
        <v/>
      </c>
    </row>
    <row r="6">
      <c r="A6" s="15">
        <f>IF(F6="","",ROW()-3)</f>
        <v/>
      </c>
      <c r="B6" s="5" t="inlineStr">
        <is>
          <t>한양대학교병원</t>
        </is>
      </c>
      <c r="C6" s="15" t="inlineStr">
        <is>
          <t>R</t>
        </is>
      </c>
      <c r="D6" s="5" t="inlineStr">
        <is>
          <t>가정의학과</t>
        </is>
      </c>
      <c r="E6" s="15" t="n">
        <v>1</v>
      </c>
      <c r="F6" s="5" t="inlineStr">
        <is>
          <t>김ㅇㅇ</t>
        </is>
      </c>
      <c r="G6" s="6" t="inlineStr">
        <is>
          <t>11-1111</t>
        </is>
      </c>
      <c r="H6" s="16" t="n">
        <v>46316</v>
      </c>
      <c r="I6" s="16" t="n">
        <v>46387</v>
      </c>
      <c r="J6" s="15">
        <f>IF(AND(ISNUMBER(H6),ISNUMBER(I6)),I6-H6+1,"")</f>
        <v/>
      </c>
      <c r="K6" s="5" t="inlineStr">
        <is>
          <t>한양대구리병원</t>
        </is>
      </c>
      <c r="L6" s="5" t="inlineStr">
        <is>
          <t>가정의학과</t>
        </is>
      </c>
      <c r="M6" s="5" t="inlineStr">
        <is>
          <t>통합수련</t>
        </is>
      </c>
      <c r="N6" s="5" t="n"/>
      <c r="O6" s="5" t="n"/>
      <c r="Q6" s="10">
        <f>IF(TRIM(G6&amp;"")="","",TRIM(G6&amp;""))</f>
        <v/>
      </c>
      <c r="R6" s="10">
        <f>IF(TRIM(B6&amp;"")="","",IFERROR(INDEX(코드표!$K$2:$K$101,MATCH(TRIM(B6&amp;""),코드표!$J$2:$J$101,0)),"⚠"&amp;TRIM(B6&amp;"")))</f>
        <v/>
      </c>
      <c r="S6" s="10">
        <f>IF(TRIM(K6&amp;"")="","",IFERROR(INDEX(코드표!$K$2:$K$101,MATCH(TRIM(K6&amp;""),코드표!$J$2:$J$101,0)),"⚠"&amp;TRIM(K6&amp;"")))</f>
        <v/>
      </c>
      <c r="T6" s="10">
        <f>IF(TRIM(M6&amp;"")="","",IF(ISNUMBER(MATCH(TRIM(M6&amp;""),코드표!$C$2:$C$11,0)),TRIM(M6&amp;""),"⚠"&amp;TRIM(M6&amp;"")))</f>
        <v/>
      </c>
      <c r="U6" s="10">
        <f>IF(TRIM(L6&amp;"")="","",IFERROR(INDEX(코드표!$G$2:$G$101,MATCH(TRIM(L6&amp;""),코드표!$F$2:$F$101,0)),"⚠"&amp;TRIM(L6&amp;"")))</f>
        <v/>
      </c>
      <c r="V6" s="10">
        <f>IF(AND(ISNUMBER(H6),ISNUMBER(I6)),I6-H6+1,"")</f>
        <v/>
      </c>
      <c r="W6" s="17">
        <f>IF(ISNUMBER(H6),MAX(0,MIN(IF(ISNUMBER(I6),I6,EOMONTH(요약!$B$3,0)),EOMONTH(요약!$B$3,0))-MAX(H6,요약!$B$3)+1),0)</f>
        <v/>
      </c>
      <c r="X6" s="10">
        <f>IF(OR(NOT(ISNUMBER(H6)),Q6=""),"",IF(TODAY()&lt;H6,"파견예정",IF(AND(ISNUMBER(I6),TODAY()&gt;I6),"파견종료","파견중")))</f>
        <v/>
      </c>
      <c r="Y6" s="10">
        <f>IF(OR(Q6="",X6=""),"",Q6&amp;"|"&amp;X6)</f>
        <v/>
      </c>
      <c r="Z6" s="10">
        <f>IF(AND(Q6&lt;&gt;"",W6&gt;0),Q6&amp;"|월","")</f>
        <v/>
      </c>
      <c r="AA6" s="10">
        <f>IF(COUNTA(B6:N6)=0,"",IF(Q6="","등록번호 없음",IF(LEFT(R6,1)="⚠","모병원명 미등록",IF(S6="","파견병원 입력",IF(LEFT(S6,1)="⚠","파견병원명 미등록",IF(LEFT(U6,1)="⚠","파견과목 미등록",IF(OR(T6="",LEFT(T6,1)="⚠"),"파견근거 확인",IF(NOT(AND(ISNUMBER(H6),ISNUMBER(I6))),"날짜 형식/누락",IF(I6&lt;H6,"종료일&lt;시작일","")))))))))</f>
        <v/>
      </c>
      <c r="AB6" s="11">
        <f>IF(ISNUMBER(SEARCH("다기관",TRIM(N6&amp;" "&amp;O6))),IFERROR(DATE(VALUE(MID(TRIM(N6&amp;" "&amp;O6),1,4)),VALUE(MID(TRIM(N6&amp;" "&amp;O6),6,2)),VALUE(MID(TRIM(N6&amp;" "&amp;O6),9,2))),IF(ISNUMBER(H6),H6,"")),"")</f>
        <v/>
      </c>
      <c r="AC6" s="11">
        <f>IF(ISNUMBER(SEARCH("다기관",TRIM(N6&amp;" "&amp;O6))),IFERROR(DATE(VALUE(MID(TRIM(N6&amp;" "&amp;O6),12,4)),VALUE(MID(TRIM(N6&amp;" "&amp;O6),17,2)),VALUE(MID(TRIM(N6&amp;" "&amp;O6),20,2))),IF(ISNUMBER(I6),I6,"")),"")</f>
        <v/>
      </c>
      <c r="AD6" s="17">
        <f>IF(AND(ISNUMBER(AB6),ISNUMBER(AC6)),MAX(0,MIN(AC6,EOMONTH(요약!$B$3,0))-MAX(AB6,요약!$B$3)+1),0)</f>
        <v/>
      </c>
      <c r="AE6" s="10">
        <f>IF(AND(Q6&lt;&gt;"",ISNUMBER(AB6)),Q6&amp;"|다기관","")</f>
        <v/>
      </c>
    </row>
    <row r="7">
      <c r="A7" s="15">
        <f>IF(F7="","",ROW()-3)</f>
        <v/>
      </c>
      <c r="B7" s="5" t="inlineStr">
        <is>
          <t>한양대학교병원</t>
        </is>
      </c>
      <c r="C7" s="15" t="inlineStr">
        <is>
          <t>R</t>
        </is>
      </c>
      <c r="D7" s="5" t="inlineStr">
        <is>
          <t>내과</t>
        </is>
      </c>
      <c r="E7" s="15" t="n">
        <v>2</v>
      </c>
      <c r="F7" s="5" t="inlineStr">
        <is>
          <t>이ㅇㅇ</t>
        </is>
      </c>
      <c r="G7" s="6" t="inlineStr">
        <is>
          <t>11-1112</t>
        </is>
      </c>
      <c r="H7" s="16" t="n">
        <v>46300</v>
      </c>
      <c r="I7" s="16" t="n">
        <v>46387</v>
      </c>
      <c r="J7" s="15">
        <f>IF(AND(ISNUMBER(H7),ISNUMBER(I7)),I7-H7+1,"")</f>
        <v/>
      </c>
      <c r="K7" s="5" t="inlineStr">
        <is>
          <t>에스중앙병원</t>
        </is>
      </c>
      <c r="L7" s="5" t="inlineStr">
        <is>
          <t>내과</t>
        </is>
      </c>
      <c r="M7" s="5" t="inlineStr">
        <is>
          <t>통합수련</t>
        </is>
      </c>
      <c r="N7" s="5" t="n"/>
      <c r="O7" s="5" t="n"/>
      <c r="Q7" s="10">
        <f>IF(TRIM(G7&amp;"")="","",TRIM(G7&amp;""))</f>
        <v/>
      </c>
      <c r="R7" s="10">
        <f>IF(TRIM(B7&amp;"")="","",IFERROR(INDEX(코드표!$K$2:$K$101,MATCH(TRIM(B7&amp;""),코드표!$J$2:$J$101,0)),"⚠"&amp;TRIM(B7&amp;"")))</f>
        <v/>
      </c>
      <c r="S7" s="10">
        <f>IF(TRIM(K7&amp;"")="","",IFERROR(INDEX(코드표!$K$2:$K$101,MATCH(TRIM(K7&amp;""),코드표!$J$2:$J$101,0)),"⚠"&amp;TRIM(K7&amp;"")))</f>
        <v/>
      </c>
      <c r="T7" s="10">
        <f>IF(TRIM(M7&amp;"")="","",IF(ISNUMBER(MATCH(TRIM(M7&amp;""),코드표!$C$2:$C$11,0)),TRIM(M7&amp;""),"⚠"&amp;TRIM(M7&amp;"")))</f>
        <v/>
      </c>
      <c r="U7" s="10">
        <f>IF(TRIM(L7&amp;"")="","",IFERROR(INDEX(코드표!$G$2:$G$101,MATCH(TRIM(L7&amp;""),코드표!$F$2:$F$101,0)),"⚠"&amp;TRIM(L7&amp;"")))</f>
        <v/>
      </c>
      <c r="V7" s="10">
        <f>IF(AND(ISNUMBER(H7),ISNUMBER(I7)),I7-H7+1,"")</f>
        <v/>
      </c>
      <c r="W7" s="17">
        <f>IF(ISNUMBER(H7),MAX(0,MIN(IF(ISNUMBER(I7),I7,EOMONTH(요약!$B$3,0)),EOMONTH(요약!$B$3,0))-MAX(H7,요약!$B$3)+1),0)</f>
        <v/>
      </c>
      <c r="X7" s="10">
        <f>IF(OR(NOT(ISNUMBER(H7)),Q7=""),"",IF(TODAY()&lt;H7,"파견예정",IF(AND(ISNUMBER(I7),TODAY()&gt;I7),"파견종료","파견중")))</f>
        <v/>
      </c>
      <c r="Y7" s="10">
        <f>IF(OR(Q7="",X7=""),"",Q7&amp;"|"&amp;X7)</f>
        <v/>
      </c>
      <c r="Z7" s="10">
        <f>IF(AND(Q7&lt;&gt;"",W7&gt;0),Q7&amp;"|월","")</f>
        <v/>
      </c>
      <c r="AA7" s="10">
        <f>IF(COUNTA(B7:N7)=0,"",IF(Q7="","등록번호 없음",IF(LEFT(R7,1)="⚠","모병원명 미등록",IF(S7="","파견병원 입력",IF(LEFT(S7,1)="⚠","파견병원명 미등록",IF(LEFT(U7,1)="⚠","파견과목 미등록",IF(OR(T7="",LEFT(T7,1)="⚠"),"파견근거 확인",IF(NOT(AND(ISNUMBER(H7),ISNUMBER(I7))),"날짜 형식/누락",IF(I7&lt;H7,"종료일&lt;시작일","")))))))))</f>
        <v/>
      </c>
      <c r="AB7" s="11">
        <f>IF(ISNUMBER(SEARCH("다기관",TRIM(N7&amp;" "&amp;O7))),IFERROR(DATE(VALUE(MID(TRIM(N7&amp;" "&amp;O7),1,4)),VALUE(MID(TRIM(N7&amp;" "&amp;O7),6,2)),VALUE(MID(TRIM(N7&amp;" "&amp;O7),9,2))),IF(ISNUMBER(H7),H7,"")),"")</f>
        <v/>
      </c>
      <c r="AC7" s="11">
        <f>IF(ISNUMBER(SEARCH("다기관",TRIM(N7&amp;" "&amp;O7))),IFERROR(DATE(VALUE(MID(TRIM(N7&amp;" "&amp;O7),12,4)),VALUE(MID(TRIM(N7&amp;" "&amp;O7),17,2)),VALUE(MID(TRIM(N7&amp;" "&amp;O7),20,2))),IF(ISNUMBER(I7),I7,"")),"")</f>
        <v/>
      </c>
      <c r="AD7" s="17">
        <f>IF(AND(ISNUMBER(AB7),ISNUMBER(AC7)),MAX(0,MIN(AC7,EOMONTH(요약!$B$3,0))-MAX(AB7,요약!$B$3)+1),0)</f>
        <v/>
      </c>
      <c r="AE7" s="10">
        <f>IF(AND(Q7&lt;&gt;"",ISNUMBER(AB7)),Q7&amp;"|다기관","")</f>
        <v/>
      </c>
    </row>
    <row r="8">
      <c r="A8" s="15">
        <f>IF(F8="","",ROW()-3)</f>
        <v/>
      </c>
      <c r="B8" s="5" t="inlineStr">
        <is>
          <t>한양대구리병원</t>
        </is>
      </c>
      <c r="C8" s="15" t="inlineStr">
        <is>
          <t>R</t>
        </is>
      </c>
      <c r="D8" s="5" t="inlineStr">
        <is>
          <t>마취통증의학과</t>
        </is>
      </c>
      <c r="E8" s="15" t="n">
        <v>2</v>
      </c>
      <c r="F8" s="5" t="inlineStr">
        <is>
          <t>정ㅇㅇ</t>
        </is>
      </c>
      <c r="G8" s="6" t="inlineStr">
        <is>
          <t>11-1115</t>
        </is>
      </c>
      <c r="H8" s="16" t="n">
        <v>46313</v>
      </c>
      <c r="I8" s="16" t="n">
        <v>46387</v>
      </c>
      <c r="J8" s="15">
        <f>IF(AND(ISNUMBER(H8),ISNUMBER(I8)),I8-H8+1,"")</f>
        <v/>
      </c>
      <c r="K8" s="5" t="inlineStr">
        <is>
          <t>한양대학교병원</t>
        </is>
      </c>
      <c r="L8" s="5" t="inlineStr">
        <is>
          <t>마취통증의학과</t>
        </is>
      </c>
      <c r="M8" s="5" t="inlineStr">
        <is>
          <t>모자</t>
        </is>
      </c>
      <c r="N8" s="5" t="n"/>
      <c r="O8" s="5" t="n"/>
      <c r="Q8" s="10">
        <f>IF(TRIM(G8&amp;"")="","",TRIM(G8&amp;""))</f>
        <v/>
      </c>
      <c r="R8" s="10">
        <f>IF(TRIM(B8&amp;"")="","",IFERROR(INDEX(코드표!$K$2:$K$101,MATCH(TRIM(B8&amp;""),코드표!$J$2:$J$101,0)),"⚠"&amp;TRIM(B8&amp;"")))</f>
        <v/>
      </c>
      <c r="S8" s="10">
        <f>IF(TRIM(K8&amp;"")="","",IFERROR(INDEX(코드표!$K$2:$K$101,MATCH(TRIM(K8&amp;""),코드표!$J$2:$J$101,0)),"⚠"&amp;TRIM(K8&amp;"")))</f>
        <v/>
      </c>
      <c r="T8" s="10">
        <f>IF(TRIM(M8&amp;"")="","",IF(ISNUMBER(MATCH(TRIM(M8&amp;""),코드표!$C$2:$C$11,0)),TRIM(M8&amp;""),"⚠"&amp;TRIM(M8&amp;"")))</f>
        <v/>
      </c>
      <c r="U8" s="10">
        <f>IF(TRIM(L8&amp;"")="","",IFERROR(INDEX(코드표!$G$2:$G$101,MATCH(TRIM(L8&amp;""),코드표!$F$2:$F$101,0)),"⚠"&amp;TRIM(L8&amp;"")))</f>
        <v/>
      </c>
      <c r="V8" s="10">
        <f>IF(AND(ISNUMBER(H8),ISNUMBER(I8)),I8-H8+1,"")</f>
        <v/>
      </c>
      <c r="W8" s="17">
        <f>IF(ISNUMBER(H8),MAX(0,MIN(IF(ISNUMBER(I8),I8,EOMONTH(요약!$B$3,0)),EOMONTH(요약!$B$3,0))-MAX(H8,요약!$B$3)+1),0)</f>
        <v/>
      </c>
      <c r="X8" s="10">
        <f>IF(OR(NOT(ISNUMBER(H8)),Q8=""),"",IF(TODAY()&lt;H8,"파견예정",IF(AND(ISNUMBER(I8),TODAY()&gt;I8),"파견종료","파견중")))</f>
        <v/>
      </c>
      <c r="Y8" s="10">
        <f>IF(OR(Q8="",X8=""),"",Q8&amp;"|"&amp;X8)</f>
        <v/>
      </c>
      <c r="Z8" s="10">
        <f>IF(AND(Q8&lt;&gt;"",W8&gt;0),Q8&amp;"|월","")</f>
        <v/>
      </c>
      <c r="AA8" s="10">
        <f>IF(COUNTA(B8:N8)=0,"",IF(Q8="","등록번호 없음",IF(LEFT(R8,1)="⚠","모병원명 미등록",IF(S8="","파견병원 입력",IF(LEFT(S8,1)="⚠","파견병원명 미등록",IF(LEFT(U8,1)="⚠","파견과목 미등록",IF(OR(T8="",LEFT(T8,1)="⚠"),"파견근거 확인",IF(NOT(AND(ISNUMBER(H8),ISNUMBER(I8))),"날짜 형식/누락",IF(I8&lt;H8,"종료일&lt;시작일","")))))))))</f>
        <v/>
      </c>
      <c r="AB8" s="11">
        <f>IF(ISNUMBER(SEARCH("다기관",TRIM(N8&amp;" "&amp;O8))),IFERROR(DATE(VALUE(MID(TRIM(N8&amp;" "&amp;O8),1,4)),VALUE(MID(TRIM(N8&amp;" "&amp;O8),6,2)),VALUE(MID(TRIM(N8&amp;" "&amp;O8),9,2))),IF(ISNUMBER(H8),H8,"")),"")</f>
        <v/>
      </c>
      <c r="AC8" s="11">
        <f>IF(ISNUMBER(SEARCH("다기관",TRIM(N8&amp;" "&amp;O8))),IFERROR(DATE(VALUE(MID(TRIM(N8&amp;" "&amp;O8),12,4)),VALUE(MID(TRIM(N8&amp;" "&amp;O8),17,2)),VALUE(MID(TRIM(N8&amp;" "&amp;O8),20,2))),IF(ISNUMBER(I8),I8,"")),"")</f>
        <v/>
      </c>
      <c r="AD8" s="17">
        <f>IF(AND(ISNUMBER(AB8),ISNUMBER(AC8)),MAX(0,MIN(AC8,EOMONTH(요약!$B$3,0))-MAX(AB8,요약!$B$3)+1),0)</f>
        <v/>
      </c>
      <c r="AE8" s="10">
        <f>IF(AND(Q8&lt;&gt;"",ISNUMBER(AB8)),Q8&amp;"|다기관","")</f>
        <v/>
      </c>
    </row>
    <row r="9">
      <c r="A9" s="15">
        <f>IF(F9="","",ROW()-3)</f>
        <v/>
      </c>
      <c r="B9" s="5" t="inlineStr">
        <is>
          <t>한양대학교병원</t>
        </is>
      </c>
      <c r="C9" s="15" t="inlineStr">
        <is>
          <t>R</t>
        </is>
      </c>
      <c r="D9" s="5" t="inlineStr">
        <is>
          <t>산부인과</t>
        </is>
      </c>
      <c r="E9" s="15" t="n">
        <v>3</v>
      </c>
      <c r="F9" s="5" t="inlineStr">
        <is>
          <t>최ㅇㅇ</t>
        </is>
      </c>
      <c r="G9" s="6" t="inlineStr">
        <is>
          <t>11-1114</t>
        </is>
      </c>
      <c r="H9" s="16" t="n">
        <v>46027</v>
      </c>
      <c r="I9" s="16" t="n">
        <v>46112</v>
      </c>
      <c r="J9" s="15">
        <f>IF(AND(ISNUMBER(H9),ISNUMBER(I9)),I9-H9+1,"")</f>
        <v/>
      </c>
      <c r="K9" s="5" t="inlineStr">
        <is>
          <t>창원</t>
        </is>
      </c>
      <c r="L9" s="5" t="inlineStr">
        <is>
          <t>산부인과</t>
        </is>
      </c>
      <c r="M9" s="5" t="inlineStr">
        <is>
          <t>다기관</t>
        </is>
      </c>
      <c r="N9" s="5" t="n"/>
      <c r="O9" s="5" t="n"/>
      <c r="Q9" s="10">
        <f>IF(TRIM(G9&amp;"")="","",TRIM(G9&amp;""))</f>
        <v/>
      </c>
      <c r="R9" s="10">
        <f>IF(TRIM(B9&amp;"")="","",IFERROR(INDEX(코드표!$K$2:$K$101,MATCH(TRIM(B9&amp;""),코드표!$J$2:$J$101,0)),"⚠"&amp;TRIM(B9&amp;"")))</f>
        <v/>
      </c>
      <c r="S9" s="10">
        <f>IF(TRIM(K9&amp;"")="","",IFERROR(INDEX(코드표!$K$2:$K$101,MATCH(TRIM(K9&amp;""),코드표!$J$2:$J$101,0)),"⚠"&amp;TRIM(K9&amp;"")))</f>
        <v/>
      </c>
      <c r="T9" s="10">
        <f>IF(TRIM(M9&amp;"")="","",IF(ISNUMBER(MATCH(TRIM(M9&amp;""),코드표!$C$2:$C$11,0)),TRIM(M9&amp;""),"⚠"&amp;TRIM(M9&amp;"")))</f>
        <v/>
      </c>
      <c r="U9" s="10">
        <f>IF(TRIM(L9&amp;"")="","",IFERROR(INDEX(코드표!$G$2:$G$101,MATCH(TRIM(L9&amp;""),코드표!$F$2:$F$101,0)),"⚠"&amp;TRIM(L9&amp;"")))</f>
        <v/>
      </c>
      <c r="V9" s="10">
        <f>IF(AND(ISNUMBER(H9),ISNUMBER(I9)),I9-H9+1,"")</f>
        <v/>
      </c>
      <c r="W9" s="17">
        <f>IF(ISNUMBER(H9),MAX(0,MIN(IF(ISNUMBER(I9),I9,EOMONTH(요약!$B$3,0)),EOMONTH(요약!$B$3,0))-MAX(H9,요약!$B$3)+1),0)</f>
        <v/>
      </c>
      <c r="X9" s="10">
        <f>IF(OR(NOT(ISNUMBER(H9)),Q9=""),"",IF(TODAY()&lt;H9,"파견예정",IF(AND(ISNUMBER(I9),TODAY()&gt;I9),"파견종료","파견중")))</f>
        <v/>
      </c>
      <c r="Y9" s="10">
        <f>IF(OR(Q9="",X9=""),"",Q9&amp;"|"&amp;X9)</f>
        <v/>
      </c>
      <c r="Z9" s="10">
        <f>IF(AND(Q9&lt;&gt;"",W9&gt;0),Q9&amp;"|월","")</f>
        <v/>
      </c>
      <c r="AA9" s="10">
        <f>IF(COUNTA(B9:N9)=0,"",IF(Q9="","등록번호 없음",IF(LEFT(R9,1)="⚠","모병원명 미등록",IF(S9="","파견병원 입력",IF(LEFT(S9,1)="⚠","파견병원명 미등록",IF(LEFT(U9,1)="⚠","파견과목 미등록",IF(OR(T9="",LEFT(T9,1)="⚠"),"파견근거 확인",IF(NOT(AND(ISNUMBER(H9),ISNUMBER(I9))),"날짜 형식/누락",IF(I9&lt;H9,"종료일&lt;시작일","")))))))))</f>
        <v/>
      </c>
      <c r="AB9" s="11">
        <f>IF(ISNUMBER(SEARCH("다기관",TRIM(N9&amp;" "&amp;O9))),IFERROR(DATE(VALUE(MID(TRIM(N9&amp;" "&amp;O9),1,4)),VALUE(MID(TRIM(N9&amp;" "&amp;O9),6,2)),VALUE(MID(TRIM(N9&amp;" "&amp;O9),9,2))),IF(ISNUMBER(H9),H9,"")),"")</f>
        <v/>
      </c>
      <c r="AC9" s="11">
        <f>IF(ISNUMBER(SEARCH("다기관",TRIM(N9&amp;" "&amp;O9))),IFERROR(DATE(VALUE(MID(TRIM(N9&amp;" "&amp;O9),12,4)),VALUE(MID(TRIM(N9&amp;" "&amp;O9),17,2)),VALUE(MID(TRIM(N9&amp;" "&amp;O9),20,2))),IF(ISNUMBER(I9),I9,"")),"")</f>
        <v/>
      </c>
      <c r="AD9" s="17">
        <f>IF(AND(ISNUMBER(AB9),ISNUMBER(AC9)),MAX(0,MIN(AC9,EOMONTH(요약!$B$3,0))-MAX(AB9,요약!$B$3)+1),0)</f>
        <v/>
      </c>
      <c r="AE9" s="10">
        <f>IF(AND(Q9&lt;&gt;"",ISNUMBER(AB9)),Q9&amp;"|다기관","")</f>
        <v/>
      </c>
    </row>
    <row r="10">
      <c r="A10" s="15">
        <f>IF(F10="","",ROW()-3)</f>
        <v/>
      </c>
      <c r="B10" s="5" t="inlineStr">
        <is>
          <t>한양대구리병원</t>
        </is>
      </c>
      <c r="C10" s="15" t="inlineStr">
        <is>
          <t>I</t>
        </is>
      </c>
      <c r="D10" s="5" t="inlineStr">
        <is>
          <t>인턴</t>
        </is>
      </c>
      <c r="E10" s="15" t="inlineStr">
        <is>
          <t>인턴</t>
        </is>
      </c>
      <c r="F10" s="5" t="inlineStr">
        <is>
          <t>박ㅇㅇ</t>
        </is>
      </c>
      <c r="G10" s="6" t="inlineStr">
        <is>
          <t>22-2224</t>
        </is>
      </c>
      <c r="H10" s="16" t="n">
        <v>46327</v>
      </c>
      <c r="I10" s="16" t="n">
        <v>46356</v>
      </c>
      <c r="J10" s="15">
        <f>IF(AND(ISNUMBER(H10),ISNUMBER(I10)),I10-H10+1,"")</f>
        <v/>
      </c>
      <c r="K10" s="5" t="inlineStr">
        <is>
          <t>한양대학교병원</t>
        </is>
      </c>
      <c r="L10" s="5" t="inlineStr">
        <is>
          <t>응급의학과</t>
        </is>
      </c>
      <c r="M10" s="5" t="inlineStr">
        <is>
          <t>모자</t>
        </is>
      </c>
      <c r="N10" s="5" t="n"/>
      <c r="O10" s="5" t="n"/>
      <c r="Q10" s="10">
        <f>IF(TRIM(G10&amp;"")="","",TRIM(G10&amp;""))</f>
        <v/>
      </c>
      <c r="R10" s="10">
        <f>IF(TRIM(B10&amp;"")="","",IFERROR(INDEX(코드표!$K$2:$K$101,MATCH(TRIM(B10&amp;""),코드표!$J$2:$J$101,0)),"⚠"&amp;TRIM(B10&amp;"")))</f>
        <v/>
      </c>
      <c r="S10" s="10">
        <f>IF(TRIM(K10&amp;"")="","",IFERROR(INDEX(코드표!$K$2:$K$101,MATCH(TRIM(K10&amp;""),코드표!$J$2:$J$101,0)),"⚠"&amp;TRIM(K10&amp;"")))</f>
        <v/>
      </c>
      <c r="T10" s="10">
        <f>IF(TRIM(M10&amp;"")="","",IF(ISNUMBER(MATCH(TRIM(M10&amp;""),코드표!$C$2:$C$11,0)),TRIM(M10&amp;""),"⚠"&amp;TRIM(M10&amp;"")))</f>
        <v/>
      </c>
      <c r="U10" s="10">
        <f>IF(TRIM(L10&amp;"")="","",IFERROR(INDEX(코드표!$G$2:$G$101,MATCH(TRIM(L10&amp;""),코드표!$F$2:$F$101,0)),"⚠"&amp;TRIM(L10&amp;"")))</f>
        <v/>
      </c>
      <c r="V10" s="10">
        <f>IF(AND(ISNUMBER(H10),ISNUMBER(I10)),I10-H10+1,"")</f>
        <v/>
      </c>
      <c r="W10" s="17">
        <f>IF(ISNUMBER(H10),MAX(0,MIN(IF(ISNUMBER(I10),I10,EOMONTH(요약!$B$3,0)),EOMONTH(요약!$B$3,0))-MAX(H10,요약!$B$3)+1),0)</f>
        <v/>
      </c>
      <c r="X10" s="10">
        <f>IF(OR(NOT(ISNUMBER(H10)),Q10=""),"",IF(TODAY()&lt;H10,"파견예정",IF(AND(ISNUMBER(I10),TODAY()&gt;I10),"파견종료","파견중")))</f>
        <v/>
      </c>
      <c r="Y10" s="10">
        <f>IF(OR(Q10="",X10=""),"",Q10&amp;"|"&amp;X10)</f>
        <v/>
      </c>
      <c r="Z10" s="10">
        <f>IF(AND(Q10&lt;&gt;"",W10&gt;0),Q10&amp;"|월","")</f>
        <v/>
      </c>
      <c r="AA10" s="10">
        <f>IF(COUNTA(B10:N10)=0,"",IF(Q10="","등록번호 없음",IF(LEFT(R10,1)="⚠","모병원명 미등록",IF(S10="","파견병원 입력",IF(LEFT(S10,1)="⚠","파견병원명 미등록",IF(LEFT(U10,1)="⚠","파견과목 미등록",IF(OR(T10="",LEFT(T10,1)="⚠"),"파견근거 확인",IF(NOT(AND(ISNUMBER(H10),ISNUMBER(I10))),"날짜 형식/누락",IF(I10&lt;H10,"종료일&lt;시작일","")))))))))</f>
        <v/>
      </c>
      <c r="AB10" s="11">
        <f>IF(ISNUMBER(SEARCH("다기관",TRIM(N10&amp;" "&amp;O10))),IFERROR(DATE(VALUE(MID(TRIM(N10&amp;" "&amp;O10),1,4)),VALUE(MID(TRIM(N10&amp;" "&amp;O10),6,2)),VALUE(MID(TRIM(N10&amp;" "&amp;O10),9,2))),IF(ISNUMBER(H10),H10,"")),"")</f>
        <v/>
      </c>
      <c r="AC10" s="11">
        <f>IF(ISNUMBER(SEARCH("다기관",TRIM(N10&amp;" "&amp;O10))),IFERROR(DATE(VALUE(MID(TRIM(N10&amp;" "&amp;O10),12,4)),VALUE(MID(TRIM(N10&amp;" "&amp;O10),17,2)),VALUE(MID(TRIM(N10&amp;" "&amp;O10),20,2))),IF(ISNUMBER(I10),I10,"")),"")</f>
        <v/>
      </c>
      <c r="AD10" s="17">
        <f>IF(AND(ISNUMBER(AB10),ISNUMBER(AC10)),MAX(0,MIN(AC10,EOMONTH(요약!$B$3,0))-MAX(AB10,요약!$B$3)+1),0)</f>
        <v/>
      </c>
      <c r="AE10" s="10">
        <f>IF(AND(Q10&lt;&gt;"",ISNUMBER(AB10)),Q10&amp;"|다기관","")</f>
        <v/>
      </c>
    </row>
    <row r="11">
      <c r="A11" s="15">
        <f>IF(F11="","",ROW()-3)</f>
        <v/>
      </c>
      <c r="B11" s="5" t="n"/>
      <c r="C11" s="15" t="n"/>
      <c r="D11" s="5" t="n"/>
      <c r="E11" s="15" t="n"/>
      <c r="F11" s="5" t="n"/>
      <c r="G11" s="6" t="n"/>
      <c r="H11" s="16" t="n"/>
      <c r="I11" s="16" t="n"/>
      <c r="J11" s="15">
        <f>IF(AND(ISNUMBER(H11),ISNUMBER(I11)),I11-H11+1,"")</f>
        <v/>
      </c>
      <c r="K11" s="5" t="n"/>
      <c r="L11" s="5" t="n"/>
      <c r="M11" s="5" t="n"/>
      <c r="N11" s="5" t="n"/>
      <c r="O11" s="5" t="n"/>
      <c r="Q11" s="10">
        <f>IF(TRIM(G11&amp;"")="","",TRIM(G11&amp;""))</f>
        <v/>
      </c>
      <c r="R11" s="10">
        <f>IF(TRIM(B11&amp;"")="","",IFERROR(INDEX(코드표!$K$2:$K$101,MATCH(TRIM(B11&amp;""),코드표!$J$2:$J$101,0)),"⚠"&amp;TRIM(B11&amp;"")))</f>
        <v/>
      </c>
      <c r="S11" s="10">
        <f>IF(TRIM(K11&amp;"")="","",IFERROR(INDEX(코드표!$K$2:$K$101,MATCH(TRIM(K11&amp;""),코드표!$J$2:$J$101,0)),"⚠"&amp;TRIM(K11&amp;"")))</f>
        <v/>
      </c>
      <c r="T11" s="10">
        <f>IF(TRIM(M11&amp;"")="","",IF(ISNUMBER(MATCH(TRIM(M11&amp;""),코드표!$C$2:$C$11,0)),TRIM(M11&amp;""),"⚠"&amp;TRIM(M11&amp;"")))</f>
        <v/>
      </c>
      <c r="U11" s="10">
        <f>IF(TRIM(L11&amp;"")="","",IFERROR(INDEX(코드표!$G$2:$G$101,MATCH(TRIM(L11&amp;""),코드표!$F$2:$F$101,0)),"⚠"&amp;TRIM(L11&amp;"")))</f>
        <v/>
      </c>
      <c r="V11" s="10">
        <f>IF(AND(ISNUMBER(H11),ISNUMBER(I11)),I11-H11+1,"")</f>
        <v/>
      </c>
      <c r="W11" s="17">
        <f>IF(ISNUMBER(H11),MAX(0,MIN(IF(ISNUMBER(I11),I11,EOMONTH(요약!$B$3,0)),EOMONTH(요약!$B$3,0))-MAX(H11,요약!$B$3)+1),0)</f>
        <v/>
      </c>
      <c r="X11" s="10">
        <f>IF(OR(NOT(ISNUMBER(H11)),Q11=""),"",IF(TODAY()&lt;H11,"파견예정",IF(AND(ISNUMBER(I11),TODAY()&gt;I11),"파견종료","파견중")))</f>
        <v/>
      </c>
      <c r="Y11" s="10">
        <f>IF(OR(Q11="",X11=""),"",Q11&amp;"|"&amp;X11)</f>
        <v/>
      </c>
      <c r="Z11" s="10">
        <f>IF(AND(Q11&lt;&gt;"",W11&gt;0),Q11&amp;"|월","")</f>
        <v/>
      </c>
      <c r="AA11" s="10">
        <f>IF(COUNTA(B11:N11)=0,"",IF(Q11="","등록번호 없음",IF(LEFT(R11,1)="⚠","모병원명 미등록",IF(S11="","파견병원 입력",IF(LEFT(S11,1)="⚠","파견병원명 미등록",IF(LEFT(U11,1)="⚠","파견과목 미등록",IF(OR(T11="",LEFT(T11,1)="⚠"),"파견근거 확인",IF(NOT(AND(ISNUMBER(H11),ISNUMBER(I11))),"날짜 형식/누락",IF(I11&lt;H11,"종료일&lt;시작일","")))))))))</f>
        <v/>
      </c>
      <c r="AB11" s="11">
        <f>IF(ISNUMBER(SEARCH("다기관",TRIM(N11&amp;" "&amp;O11))),IFERROR(DATE(VALUE(MID(TRIM(N11&amp;" "&amp;O11),1,4)),VALUE(MID(TRIM(N11&amp;" "&amp;O11),6,2)),VALUE(MID(TRIM(N11&amp;" "&amp;O11),9,2))),IF(ISNUMBER(H11),H11,"")),"")</f>
        <v/>
      </c>
      <c r="AC11" s="11">
        <f>IF(ISNUMBER(SEARCH("다기관",TRIM(N11&amp;" "&amp;O11))),IFERROR(DATE(VALUE(MID(TRIM(N11&amp;" "&amp;O11),12,4)),VALUE(MID(TRIM(N11&amp;" "&amp;O11),17,2)),VALUE(MID(TRIM(N11&amp;" "&amp;O11),20,2))),IF(ISNUMBER(I11),I11,"")),"")</f>
        <v/>
      </c>
      <c r="AD11" s="17">
        <f>IF(AND(ISNUMBER(AB11),ISNUMBER(AC11)),MAX(0,MIN(AC11,EOMONTH(요약!$B$3,0))-MAX(AB11,요약!$B$3)+1),0)</f>
        <v/>
      </c>
      <c r="AE11" s="10">
        <f>IF(AND(Q11&lt;&gt;"",ISNUMBER(AB11)),Q11&amp;"|다기관","")</f>
        <v/>
      </c>
    </row>
    <row r="12">
      <c r="A12" s="15">
        <f>IF(F12="","",ROW()-3)</f>
        <v/>
      </c>
      <c r="B12" s="5" t="n"/>
      <c r="C12" s="15" t="n"/>
      <c r="D12" s="5" t="n"/>
      <c r="E12" s="15" t="n"/>
      <c r="F12" s="5" t="n"/>
      <c r="G12" s="6" t="n"/>
      <c r="H12" s="16" t="n"/>
      <c r="I12" s="16" t="n"/>
      <c r="J12" s="15">
        <f>IF(AND(ISNUMBER(H12),ISNUMBER(I12)),I12-H12+1,"")</f>
        <v/>
      </c>
      <c r="K12" s="5" t="n"/>
      <c r="L12" s="5" t="n"/>
      <c r="M12" s="5" t="n"/>
      <c r="N12" s="5" t="n"/>
      <c r="O12" s="5" t="n"/>
      <c r="Q12" s="10">
        <f>IF(TRIM(G12&amp;"")="","",TRIM(G12&amp;""))</f>
        <v/>
      </c>
      <c r="R12" s="10">
        <f>IF(TRIM(B12&amp;"")="","",IFERROR(INDEX(코드표!$K$2:$K$101,MATCH(TRIM(B12&amp;""),코드표!$J$2:$J$101,0)),"⚠"&amp;TRIM(B12&amp;"")))</f>
        <v/>
      </c>
      <c r="S12" s="10">
        <f>IF(TRIM(K12&amp;"")="","",IFERROR(INDEX(코드표!$K$2:$K$101,MATCH(TRIM(K12&amp;""),코드표!$J$2:$J$101,0)),"⚠"&amp;TRIM(K12&amp;"")))</f>
        <v/>
      </c>
      <c r="T12" s="10">
        <f>IF(TRIM(M12&amp;"")="","",IF(ISNUMBER(MATCH(TRIM(M12&amp;""),코드표!$C$2:$C$11,0)),TRIM(M12&amp;""),"⚠"&amp;TRIM(M12&amp;"")))</f>
        <v/>
      </c>
      <c r="U12" s="10">
        <f>IF(TRIM(L12&amp;"")="","",IFERROR(INDEX(코드표!$G$2:$G$101,MATCH(TRIM(L12&amp;""),코드표!$F$2:$F$101,0)),"⚠"&amp;TRIM(L12&amp;"")))</f>
        <v/>
      </c>
      <c r="V12" s="10">
        <f>IF(AND(ISNUMBER(H12),ISNUMBER(I12)),I12-H12+1,"")</f>
        <v/>
      </c>
      <c r="W12" s="17">
        <f>IF(ISNUMBER(H12),MAX(0,MIN(IF(ISNUMBER(I12),I12,EOMONTH(요약!$B$3,0)),EOMONTH(요약!$B$3,0))-MAX(H12,요약!$B$3)+1),0)</f>
        <v/>
      </c>
      <c r="X12" s="10">
        <f>IF(OR(NOT(ISNUMBER(H12)),Q12=""),"",IF(TODAY()&lt;H12,"파견예정",IF(AND(ISNUMBER(I12),TODAY()&gt;I12),"파견종료","파견중")))</f>
        <v/>
      </c>
      <c r="Y12" s="10">
        <f>IF(OR(Q12="",X12=""),"",Q12&amp;"|"&amp;X12)</f>
        <v/>
      </c>
      <c r="Z12" s="10">
        <f>IF(AND(Q12&lt;&gt;"",W12&gt;0),Q12&amp;"|월","")</f>
        <v/>
      </c>
      <c r="AA12" s="10">
        <f>IF(COUNTA(B12:N12)=0,"",IF(Q12="","등록번호 없음",IF(LEFT(R12,1)="⚠","모병원명 미등록",IF(S12="","파견병원 입력",IF(LEFT(S12,1)="⚠","파견병원명 미등록",IF(LEFT(U12,1)="⚠","파견과목 미등록",IF(OR(T12="",LEFT(T12,1)="⚠"),"파견근거 확인",IF(NOT(AND(ISNUMBER(H12),ISNUMBER(I12))),"날짜 형식/누락",IF(I12&lt;H12,"종료일&lt;시작일","")))))))))</f>
        <v/>
      </c>
      <c r="AB12" s="11">
        <f>IF(ISNUMBER(SEARCH("다기관",TRIM(N12&amp;" "&amp;O12))),IFERROR(DATE(VALUE(MID(TRIM(N12&amp;" "&amp;O12),1,4)),VALUE(MID(TRIM(N12&amp;" "&amp;O12),6,2)),VALUE(MID(TRIM(N12&amp;" "&amp;O12),9,2))),IF(ISNUMBER(H12),H12,"")),"")</f>
        <v/>
      </c>
      <c r="AC12" s="11">
        <f>IF(ISNUMBER(SEARCH("다기관",TRIM(N12&amp;" "&amp;O12))),IFERROR(DATE(VALUE(MID(TRIM(N12&amp;" "&amp;O12),12,4)),VALUE(MID(TRIM(N12&amp;" "&amp;O12),17,2)),VALUE(MID(TRIM(N12&amp;" "&amp;O12),20,2))),IF(ISNUMBER(I12),I12,"")),"")</f>
        <v/>
      </c>
      <c r="AD12" s="17">
        <f>IF(AND(ISNUMBER(AB12),ISNUMBER(AC12)),MAX(0,MIN(AC12,EOMONTH(요약!$B$3,0))-MAX(AB12,요약!$B$3)+1),0)</f>
        <v/>
      </c>
      <c r="AE12" s="10">
        <f>IF(AND(Q12&lt;&gt;"",ISNUMBER(AB12)),Q12&amp;"|다기관","")</f>
        <v/>
      </c>
    </row>
    <row r="13">
      <c r="A13" s="15">
        <f>IF(F13="","",ROW()-3)</f>
        <v/>
      </c>
      <c r="B13" s="5" t="n"/>
      <c r="C13" s="15" t="n"/>
      <c r="D13" s="5" t="n"/>
      <c r="E13" s="15" t="n"/>
      <c r="F13" s="5" t="n"/>
      <c r="G13" s="6" t="n"/>
      <c r="H13" s="16" t="n"/>
      <c r="I13" s="16" t="n"/>
      <c r="J13" s="15">
        <f>IF(AND(ISNUMBER(H13),ISNUMBER(I13)),I13-H13+1,"")</f>
        <v/>
      </c>
      <c r="K13" s="5" t="n"/>
      <c r="L13" s="5" t="n"/>
      <c r="M13" s="5" t="n"/>
      <c r="N13" s="5" t="n"/>
      <c r="O13" s="5" t="n"/>
      <c r="Q13" s="10">
        <f>IF(TRIM(G13&amp;"")="","",TRIM(G13&amp;""))</f>
        <v/>
      </c>
      <c r="R13" s="10">
        <f>IF(TRIM(B13&amp;"")="","",IFERROR(INDEX(코드표!$K$2:$K$101,MATCH(TRIM(B13&amp;""),코드표!$J$2:$J$101,0)),"⚠"&amp;TRIM(B13&amp;"")))</f>
        <v/>
      </c>
      <c r="S13" s="10">
        <f>IF(TRIM(K13&amp;"")="","",IFERROR(INDEX(코드표!$K$2:$K$101,MATCH(TRIM(K13&amp;""),코드표!$J$2:$J$101,0)),"⚠"&amp;TRIM(K13&amp;"")))</f>
        <v/>
      </c>
      <c r="T13" s="10">
        <f>IF(TRIM(M13&amp;"")="","",IF(ISNUMBER(MATCH(TRIM(M13&amp;""),코드표!$C$2:$C$11,0)),TRIM(M13&amp;""),"⚠"&amp;TRIM(M13&amp;"")))</f>
        <v/>
      </c>
      <c r="U13" s="10">
        <f>IF(TRIM(L13&amp;"")="","",IFERROR(INDEX(코드표!$G$2:$G$101,MATCH(TRIM(L13&amp;""),코드표!$F$2:$F$101,0)),"⚠"&amp;TRIM(L13&amp;"")))</f>
        <v/>
      </c>
      <c r="V13" s="10">
        <f>IF(AND(ISNUMBER(H13),ISNUMBER(I13)),I13-H13+1,"")</f>
        <v/>
      </c>
      <c r="W13" s="17">
        <f>IF(ISNUMBER(H13),MAX(0,MIN(IF(ISNUMBER(I13),I13,EOMONTH(요약!$B$3,0)),EOMONTH(요약!$B$3,0))-MAX(H13,요약!$B$3)+1),0)</f>
        <v/>
      </c>
      <c r="X13" s="10">
        <f>IF(OR(NOT(ISNUMBER(H13)),Q13=""),"",IF(TODAY()&lt;H13,"파견예정",IF(AND(ISNUMBER(I13),TODAY()&gt;I13),"파견종료","파견중")))</f>
        <v/>
      </c>
      <c r="Y13" s="10">
        <f>IF(OR(Q13="",X13=""),"",Q13&amp;"|"&amp;X13)</f>
        <v/>
      </c>
      <c r="Z13" s="10">
        <f>IF(AND(Q13&lt;&gt;"",W13&gt;0),Q13&amp;"|월","")</f>
        <v/>
      </c>
      <c r="AA13" s="10">
        <f>IF(COUNTA(B13:N13)=0,"",IF(Q13="","등록번호 없음",IF(LEFT(R13,1)="⚠","모병원명 미등록",IF(S13="","파견병원 입력",IF(LEFT(S13,1)="⚠","파견병원명 미등록",IF(LEFT(U13,1)="⚠","파견과목 미등록",IF(OR(T13="",LEFT(T13,1)="⚠"),"파견근거 확인",IF(NOT(AND(ISNUMBER(H13),ISNUMBER(I13))),"날짜 형식/누락",IF(I13&lt;H13,"종료일&lt;시작일","")))))))))</f>
        <v/>
      </c>
      <c r="AB13" s="11">
        <f>IF(ISNUMBER(SEARCH("다기관",TRIM(N13&amp;" "&amp;O13))),IFERROR(DATE(VALUE(MID(TRIM(N13&amp;" "&amp;O13),1,4)),VALUE(MID(TRIM(N13&amp;" "&amp;O13),6,2)),VALUE(MID(TRIM(N13&amp;" "&amp;O13),9,2))),IF(ISNUMBER(H13),H13,"")),"")</f>
        <v/>
      </c>
      <c r="AC13" s="11">
        <f>IF(ISNUMBER(SEARCH("다기관",TRIM(N13&amp;" "&amp;O13))),IFERROR(DATE(VALUE(MID(TRIM(N13&amp;" "&amp;O13),12,4)),VALUE(MID(TRIM(N13&amp;" "&amp;O13),17,2)),VALUE(MID(TRIM(N13&amp;" "&amp;O13),20,2))),IF(ISNUMBER(I13),I13,"")),"")</f>
        <v/>
      </c>
      <c r="AD13" s="17">
        <f>IF(AND(ISNUMBER(AB13),ISNUMBER(AC13)),MAX(0,MIN(AC13,EOMONTH(요약!$B$3,0))-MAX(AB13,요약!$B$3)+1),0)</f>
        <v/>
      </c>
      <c r="AE13" s="10">
        <f>IF(AND(Q13&lt;&gt;"",ISNUMBER(AB13)),Q13&amp;"|다기관","")</f>
        <v/>
      </c>
    </row>
    <row r="14">
      <c r="A14" s="15">
        <f>IF(F14="","",ROW()-3)</f>
        <v/>
      </c>
      <c r="B14" s="5" t="n"/>
      <c r="C14" s="15" t="n"/>
      <c r="D14" s="5" t="n"/>
      <c r="E14" s="15" t="n"/>
      <c r="F14" s="5" t="n"/>
      <c r="G14" s="6" t="n"/>
      <c r="H14" s="16" t="n"/>
      <c r="I14" s="16" t="n"/>
      <c r="J14" s="15">
        <f>IF(AND(ISNUMBER(H14),ISNUMBER(I14)),I14-H14+1,"")</f>
        <v/>
      </c>
      <c r="K14" s="5" t="n"/>
      <c r="L14" s="5" t="n"/>
      <c r="M14" s="5" t="n"/>
      <c r="N14" s="5" t="n"/>
      <c r="O14" s="5" t="n"/>
      <c r="Q14" s="10">
        <f>IF(TRIM(G14&amp;"")="","",TRIM(G14&amp;""))</f>
        <v/>
      </c>
      <c r="R14" s="10">
        <f>IF(TRIM(B14&amp;"")="","",IFERROR(INDEX(코드표!$K$2:$K$101,MATCH(TRIM(B14&amp;""),코드표!$J$2:$J$101,0)),"⚠"&amp;TRIM(B14&amp;"")))</f>
        <v/>
      </c>
      <c r="S14" s="10">
        <f>IF(TRIM(K14&amp;"")="","",IFERROR(INDEX(코드표!$K$2:$K$101,MATCH(TRIM(K14&amp;""),코드표!$J$2:$J$101,0)),"⚠"&amp;TRIM(K14&amp;"")))</f>
        <v/>
      </c>
      <c r="T14" s="10">
        <f>IF(TRIM(M14&amp;"")="","",IF(ISNUMBER(MATCH(TRIM(M14&amp;""),코드표!$C$2:$C$11,0)),TRIM(M14&amp;""),"⚠"&amp;TRIM(M14&amp;"")))</f>
        <v/>
      </c>
      <c r="U14" s="10">
        <f>IF(TRIM(L14&amp;"")="","",IFERROR(INDEX(코드표!$G$2:$G$101,MATCH(TRIM(L14&amp;""),코드표!$F$2:$F$101,0)),"⚠"&amp;TRIM(L14&amp;"")))</f>
        <v/>
      </c>
      <c r="V14" s="10">
        <f>IF(AND(ISNUMBER(H14),ISNUMBER(I14)),I14-H14+1,"")</f>
        <v/>
      </c>
      <c r="W14" s="17">
        <f>IF(ISNUMBER(H14),MAX(0,MIN(IF(ISNUMBER(I14),I14,EOMONTH(요약!$B$3,0)),EOMONTH(요약!$B$3,0))-MAX(H14,요약!$B$3)+1),0)</f>
        <v/>
      </c>
      <c r="X14" s="10">
        <f>IF(OR(NOT(ISNUMBER(H14)),Q14=""),"",IF(TODAY()&lt;H14,"파견예정",IF(AND(ISNUMBER(I14),TODAY()&gt;I14),"파견종료","파견중")))</f>
        <v/>
      </c>
      <c r="Y14" s="10">
        <f>IF(OR(Q14="",X14=""),"",Q14&amp;"|"&amp;X14)</f>
        <v/>
      </c>
      <c r="Z14" s="10">
        <f>IF(AND(Q14&lt;&gt;"",W14&gt;0),Q14&amp;"|월","")</f>
        <v/>
      </c>
      <c r="AA14" s="10">
        <f>IF(COUNTA(B14:N14)=0,"",IF(Q14="","등록번호 없음",IF(LEFT(R14,1)="⚠","모병원명 미등록",IF(S14="","파견병원 입력",IF(LEFT(S14,1)="⚠","파견병원명 미등록",IF(LEFT(U14,1)="⚠","파견과목 미등록",IF(OR(T14="",LEFT(T14,1)="⚠"),"파견근거 확인",IF(NOT(AND(ISNUMBER(H14),ISNUMBER(I14))),"날짜 형식/누락",IF(I14&lt;H14,"종료일&lt;시작일","")))))))))</f>
        <v/>
      </c>
      <c r="AB14" s="11">
        <f>IF(ISNUMBER(SEARCH("다기관",TRIM(N14&amp;" "&amp;O14))),IFERROR(DATE(VALUE(MID(TRIM(N14&amp;" "&amp;O14),1,4)),VALUE(MID(TRIM(N14&amp;" "&amp;O14),6,2)),VALUE(MID(TRIM(N14&amp;" "&amp;O14),9,2))),IF(ISNUMBER(H14),H14,"")),"")</f>
        <v/>
      </c>
      <c r="AC14" s="11">
        <f>IF(ISNUMBER(SEARCH("다기관",TRIM(N14&amp;" "&amp;O14))),IFERROR(DATE(VALUE(MID(TRIM(N14&amp;" "&amp;O14),12,4)),VALUE(MID(TRIM(N14&amp;" "&amp;O14),17,2)),VALUE(MID(TRIM(N14&amp;" "&amp;O14),20,2))),IF(ISNUMBER(I14),I14,"")),"")</f>
        <v/>
      </c>
      <c r="AD14" s="17">
        <f>IF(AND(ISNUMBER(AB14),ISNUMBER(AC14)),MAX(0,MIN(AC14,EOMONTH(요약!$B$3,0))-MAX(AB14,요약!$B$3)+1),0)</f>
        <v/>
      </c>
      <c r="AE14" s="10">
        <f>IF(AND(Q14&lt;&gt;"",ISNUMBER(AB14)),Q14&amp;"|다기관","")</f>
        <v/>
      </c>
    </row>
    <row r="15">
      <c r="A15" s="15">
        <f>IF(F15="","",ROW()-3)</f>
        <v/>
      </c>
      <c r="B15" s="5" t="n"/>
      <c r="C15" s="15" t="n"/>
      <c r="D15" s="5" t="n"/>
      <c r="E15" s="15" t="n"/>
      <c r="F15" s="5" t="n"/>
      <c r="G15" s="6" t="n"/>
      <c r="H15" s="16" t="n"/>
      <c r="I15" s="16" t="n"/>
      <c r="J15" s="15">
        <f>IF(AND(ISNUMBER(H15),ISNUMBER(I15)),I15-H15+1,"")</f>
        <v/>
      </c>
      <c r="K15" s="5" t="n"/>
      <c r="L15" s="5" t="n"/>
      <c r="M15" s="5" t="n"/>
      <c r="N15" s="5" t="n"/>
      <c r="O15" s="5" t="n"/>
      <c r="Q15" s="10">
        <f>IF(TRIM(G15&amp;"")="","",TRIM(G15&amp;""))</f>
        <v/>
      </c>
      <c r="R15" s="10">
        <f>IF(TRIM(B15&amp;"")="","",IFERROR(INDEX(코드표!$K$2:$K$101,MATCH(TRIM(B15&amp;""),코드표!$J$2:$J$101,0)),"⚠"&amp;TRIM(B15&amp;"")))</f>
        <v/>
      </c>
      <c r="S15" s="10">
        <f>IF(TRIM(K15&amp;"")="","",IFERROR(INDEX(코드표!$K$2:$K$101,MATCH(TRIM(K15&amp;""),코드표!$J$2:$J$101,0)),"⚠"&amp;TRIM(K15&amp;"")))</f>
        <v/>
      </c>
      <c r="T15" s="10">
        <f>IF(TRIM(M15&amp;"")="","",IF(ISNUMBER(MATCH(TRIM(M15&amp;""),코드표!$C$2:$C$11,0)),TRIM(M15&amp;""),"⚠"&amp;TRIM(M15&amp;"")))</f>
        <v/>
      </c>
      <c r="U15" s="10">
        <f>IF(TRIM(L15&amp;"")="","",IFERROR(INDEX(코드표!$G$2:$G$101,MATCH(TRIM(L15&amp;""),코드표!$F$2:$F$101,0)),"⚠"&amp;TRIM(L15&amp;"")))</f>
        <v/>
      </c>
      <c r="V15" s="10">
        <f>IF(AND(ISNUMBER(H15),ISNUMBER(I15)),I15-H15+1,"")</f>
        <v/>
      </c>
      <c r="W15" s="17">
        <f>IF(ISNUMBER(H15),MAX(0,MIN(IF(ISNUMBER(I15),I15,EOMONTH(요약!$B$3,0)),EOMONTH(요약!$B$3,0))-MAX(H15,요약!$B$3)+1),0)</f>
        <v/>
      </c>
      <c r="X15" s="10">
        <f>IF(OR(NOT(ISNUMBER(H15)),Q15=""),"",IF(TODAY()&lt;H15,"파견예정",IF(AND(ISNUMBER(I15),TODAY()&gt;I15),"파견종료","파견중")))</f>
        <v/>
      </c>
      <c r="Y15" s="10">
        <f>IF(OR(Q15="",X15=""),"",Q15&amp;"|"&amp;X15)</f>
        <v/>
      </c>
      <c r="Z15" s="10">
        <f>IF(AND(Q15&lt;&gt;"",W15&gt;0),Q15&amp;"|월","")</f>
        <v/>
      </c>
      <c r="AA15" s="10">
        <f>IF(COUNTA(B15:N15)=0,"",IF(Q15="","등록번호 없음",IF(LEFT(R15,1)="⚠","모병원명 미등록",IF(S15="","파견병원 입력",IF(LEFT(S15,1)="⚠","파견병원명 미등록",IF(LEFT(U15,1)="⚠","파견과목 미등록",IF(OR(T15="",LEFT(T15,1)="⚠"),"파견근거 확인",IF(NOT(AND(ISNUMBER(H15),ISNUMBER(I15))),"날짜 형식/누락",IF(I15&lt;H15,"종료일&lt;시작일","")))))))))</f>
        <v/>
      </c>
      <c r="AB15" s="11">
        <f>IF(ISNUMBER(SEARCH("다기관",TRIM(N15&amp;" "&amp;O15))),IFERROR(DATE(VALUE(MID(TRIM(N15&amp;" "&amp;O15),1,4)),VALUE(MID(TRIM(N15&amp;" "&amp;O15),6,2)),VALUE(MID(TRIM(N15&amp;" "&amp;O15),9,2))),IF(ISNUMBER(H15),H15,"")),"")</f>
        <v/>
      </c>
      <c r="AC15" s="11">
        <f>IF(ISNUMBER(SEARCH("다기관",TRIM(N15&amp;" "&amp;O15))),IFERROR(DATE(VALUE(MID(TRIM(N15&amp;" "&amp;O15),12,4)),VALUE(MID(TRIM(N15&amp;" "&amp;O15),17,2)),VALUE(MID(TRIM(N15&amp;" "&amp;O15),20,2))),IF(ISNUMBER(I15),I15,"")),"")</f>
        <v/>
      </c>
      <c r="AD15" s="17">
        <f>IF(AND(ISNUMBER(AB15),ISNUMBER(AC15)),MAX(0,MIN(AC15,EOMONTH(요약!$B$3,0))-MAX(AB15,요약!$B$3)+1),0)</f>
        <v/>
      </c>
      <c r="AE15" s="10">
        <f>IF(AND(Q15&lt;&gt;"",ISNUMBER(AB15)),Q15&amp;"|다기관","")</f>
        <v/>
      </c>
    </row>
    <row r="16">
      <c r="A16" s="15">
        <f>IF(F16="","",ROW()-3)</f>
        <v/>
      </c>
      <c r="B16" s="5" t="n"/>
      <c r="C16" s="15" t="n"/>
      <c r="D16" s="5" t="n"/>
      <c r="E16" s="15" t="n"/>
      <c r="F16" s="5" t="n"/>
      <c r="G16" s="6" t="n"/>
      <c r="H16" s="16" t="n"/>
      <c r="I16" s="16" t="n"/>
      <c r="J16" s="15">
        <f>IF(AND(ISNUMBER(H16),ISNUMBER(I16)),I16-H16+1,"")</f>
        <v/>
      </c>
      <c r="K16" s="5" t="n"/>
      <c r="L16" s="5" t="n"/>
      <c r="M16" s="5" t="n"/>
      <c r="N16" s="5" t="n"/>
      <c r="O16" s="5" t="n"/>
      <c r="Q16" s="10">
        <f>IF(TRIM(G16&amp;"")="","",TRIM(G16&amp;""))</f>
        <v/>
      </c>
      <c r="R16" s="10">
        <f>IF(TRIM(B16&amp;"")="","",IFERROR(INDEX(코드표!$K$2:$K$101,MATCH(TRIM(B16&amp;""),코드표!$J$2:$J$101,0)),"⚠"&amp;TRIM(B16&amp;"")))</f>
        <v/>
      </c>
      <c r="S16" s="10">
        <f>IF(TRIM(K16&amp;"")="","",IFERROR(INDEX(코드표!$K$2:$K$101,MATCH(TRIM(K16&amp;""),코드표!$J$2:$J$101,0)),"⚠"&amp;TRIM(K16&amp;"")))</f>
        <v/>
      </c>
      <c r="T16" s="10">
        <f>IF(TRIM(M16&amp;"")="","",IF(ISNUMBER(MATCH(TRIM(M16&amp;""),코드표!$C$2:$C$11,0)),TRIM(M16&amp;""),"⚠"&amp;TRIM(M16&amp;"")))</f>
        <v/>
      </c>
      <c r="U16" s="10">
        <f>IF(TRIM(L16&amp;"")="","",IFERROR(INDEX(코드표!$G$2:$G$101,MATCH(TRIM(L16&amp;""),코드표!$F$2:$F$101,0)),"⚠"&amp;TRIM(L16&amp;"")))</f>
        <v/>
      </c>
      <c r="V16" s="10">
        <f>IF(AND(ISNUMBER(H16),ISNUMBER(I16)),I16-H16+1,"")</f>
        <v/>
      </c>
      <c r="W16" s="17">
        <f>IF(ISNUMBER(H16),MAX(0,MIN(IF(ISNUMBER(I16),I16,EOMONTH(요약!$B$3,0)),EOMONTH(요약!$B$3,0))-MAX(H16,요약!$B$3)+1),0)</f>
        <v/>
      </c>
      <c r="X16" s="10">
        <f>IF(OR(NOT(ISNUMBER(H16)),Q16=""),"",IF(TODAY()&lt;H16,"파견예정",IF(AND(ISNUMBER(I16),TODAY()&gt;I16),"파견종료","파견중")))</f>
        <v/>
      </c>
      <c r="Y16" s="10">
        <f>IF(OR(Q16="",X16=""),"",Q16&amp;"|"&amp;X16)</f>
        <v/>
      </c>
      <c r="Z16" s="10">
        <f>IF(AND(Q16&lt;&gt;"",W16&gt;0),Q16&amp;"|월","")</f>
        <v/>
      </c>
      <c r="AA16" s="10">
        <f>IF(COUNTA(B16:N16)=0,"",IF(Q16="","등록번호 없음",IF(LEFT(R16,1)="⚠","모병원명 미등록",IF(S16="","파견병원 입력",IF(LEFT(S16,1)="⚠","파견병원명 미등록",IF(LEFT(U16,1)="⚠","파견과목 미등록",IF(OR(T16="",LEFT(T16,1)="⚠"),"파견근거 확인",IF(NOT(AND(ISNUMBER(H16),ISNUMBER(I16))),"날짜 형식/누락",IF(I16&lt;H16,"종료일&lt;시작일","")))))))))</f>
        <v/>
      </c>
      <c r="AB16" s="11">
        <f>IF(ISNUMBER(SEARCH("다기관",TRIM(N16&amp;" "&amp;O16))),IFERROR(DATE(VALUE(MID(TRIM(N16&amp;" "&amp;O16),1,4)),VALUE(MID(TRIM(N16&amp;" "&amp;O16),6,2)),VALUE(MID(TRIM(N16&amp;" "&amp;O16),9,2))),IF(ISNUMBER(H16),H16,"")),"")</f>
        <v/>
      </c>
      <c r="AC16" s="11">
        <f>IF(ISNUMBER(SEARCH("다기관",TRIM(N16&amp;" "&amp;O16))),IFERROR(DATE(VALUE(MID(TRIM(N16&amp;" "&amp;O16),12,4)),VALUE(MID(TRIM(N16&amp;" "&amp;O16),17,2)),VALUE(MID(TRIM(N16&amp;" "&amp;O16),20,2))),IF(ISNUMBER(I16),I16,"")),"")</f>
        <v/>
      </c>
      <c r="AD16" s="17">
        <f>IF(AND(ISNUMBER(AB16),ISNUMBER(AC16)),MAX(0,MIN(AC16,EOMONTH(요약!$B$3,0))-MAX(AB16,요약!$B$3)+1),0)</f>
        <v/>
      </c>
      <c r="AE16" s="10">
        <f>IF(AND(Q16&lt;&gt;"",ISNUMBER(AB16)),Q16&amp;"|다기관","")</f>
        <v/>
      </c>
    </row>
    <row r="17">
      <c r="A17" s="15">
        <f>IF(F17="","",ROW()-3)</f>
        <v/>
      </c>
      <c r="B17" s="5" t="n"/>
      <c r="C17" s="15" t="n"/>
      <c r="D17" s="5" t="n"/>
      <c r="E17" s="15" t="n"/>
      <c r="F17" s="5" t="n"/>
      <c r="G17" s="6" t="n"/>
      <c r="H17" s="16" t="n"/>
      <c r="I17" s="16" t="n"/>
      <c r="J17" s="15">
        <f>IF(AND(ISNUMBER(H17),ISNUMBER(I17)),I17-H17+1,"")</f>
        <v/>
      </c>
      <c r="K17" s="5" t="n"/>
      <c r="L17" s="5" t="n"/>
      <c r="M17" s="5" t="n"/>
      <c r="N17" s="5" t="n"/>
      <c r="O17" s="5" t="n"/>
      <c r="Q17" s="10">
        <f>IF(TRIM(G17&amp;"")="","",TRIM(G17&amp;""))</f>
        <v/>
      </c>
      <c r="R17" s="10">
        <f>IF(TRIM(B17&amp;"")="","",IFERROR(INDEX(코드표!$K$2:$K$101,MATCH(TRIM(B17&amp;""),코드표!$J$2:$J$101,0)),"⚠"&amp;TRIM(B17&amp;"")))</f>
        <v/>
      </c>
      <c r="S17" s="10">
        <f>IF(TRIM(K17&amp;"")="","",IFERROR(INDEX(코드표!$K$2:$K$101,MATCH(TRIM(K17&amp;""),코드표!$J$2:$J$101,0)),"⚠"&amp;TRIM(K17&amp;"")))</f>
        <v/>
      </c>
      <c r="T17" s="10">
        <f>IF(TRIM(M17&amp;"")="","",IF(ISNUMBER(MATCH(TRIM(M17&amp;""),코드표!$C$2:$C$11,0)),TRIM(M17&amp;""),"⚠"&amp;TRIM(M17&amp;"")))</f>
        <v/>
      </c>
      <c r="U17" s="10">
        <f>IF(TRIM(L17&amp;"")="","",IFERROR(INDEX(코드표!$G$2:$G$101,MATCH(TRIM(L17&amp;""),코드표!$F$2:$F$101,0)),"⚠"&amp;TRIM(L17&amp;"")))</f>
        <v/>
      </c>
      <c r="V17" s="10">
        <f>IF(AND(ISNUMBER(H17),ISNUMBER(I17)),I17-H17+1,"")</f>
        <v/>
      </c>
      <c r="W17" s="17">
        <f>IF(ISNUMBER(H17),MAX(0,MIN(IF(ISNUMBER(I17),I17,EOMONTH(요약!$B$3,0)),EOMONTH(요약!$B$3,0))-MAX(H17,요약!$B$3)+1),0)</f>
        <v/>
      </c>
      <c r="X17" s="10">
        <f>IF(OR(NOT(ISNUMBER(H17)),Q17=""),"",IF(TODAY()&lt;H17,"파견예정",IF(AND(ISNUMBER(I17),TODAY()&gt;I17),"파견종료","파견중")))</f>
        <v/>
      </c>
      <c r="Y17" s="10">
        <f>IF(OR(Q17="",X17=""),"",Q17&amp;"|"&amp;X17)</f>
        <v/>
      </c>
      <c r="Z17" s="10">
        <f>IF(AND(Q17&lt;&gt;"",W17&gt;0),Q17&amp;"|월","")</f>
        <v/>
      </c>
      <c r="AA17" s="10">
        <f>IF(COUNTA(B17:N17)=0,"",IF(Q17="","등록번호 없음",IF(LEFT(R17,1)="⚠","모병원명 미등록",IF(S17="","파견병원 입력",IF(LEFT(S17,1)="⚠","파견병원명 미등록",IF(LEFT(U17,1)="⚠","파견과목 미등록",IF(OR(T17="",LEFT(T17,1)="⚠"),"파견근거 확인",IF(NOT(AND(ISNUMBER(H17),ISNUMBER(I17))),"날짜 형식/누락",IF(I17&lt;H17,"종료일&lt;시작일","")))))))))</f>
        <v/>
      </c>
      <c r="AB17" s="11">
        <f>IF(ISNUMBER(SEARCH("다기관",TRIM(N17&amp;" "&amp;O17))),IFERROR(DATE(VALUE(MID(TRIM(N17&amp;" "&amp;O17),1,4)),VALUE(MID(TRIM(N17&amp;" "&amp;O17),6,2)),VALUE(MID(TRIM(N17&amp;" "&amp;O17),9,2))),IF(ISNUMBER(H17),H17,"")),"")</f>
        <v/>
      </c>
      <c r="AC17" s="11">
        <f>IF(ISNUMBER(SEARCH("다기관",TRIM(N17&amp;" "&amp;O17))),IFERROR(DATE(VALUE(MID(TRIM(N17&amp;" "&amp;O17),12,4)),VALUE(MID(TRIM(N17&amp;" "&amp;O17),17,2)),VALUE(MID(TRIM(N17&amp;" "&amp;O17),20,2))),IF(ISNUMBER(I17),I17,"")),"")</f>
        <v/>
      </c>
      <c r="AD17" s="17">
        <f>IF(AND(ISNUMBER(AB17),ISNUMBER(AC17)),MAX(0,MIN(AC17,EOMONTH(요약!$B$3,0))-MAX(AB17,요약!$B$3)+1),0)</f>
        <v/>
      </c>
      <c r="AE17" s="10">
        <f>IF(AND(Q17&lt;&gt;"",ISNUMBER(AB17)),Q17&amp;"|다기관","")</f>
        <v/>
      </c>
    </row>
    <row r="18">
      <c r="A18" s="15">
        <f>IF(F18="","",ROW()-3)</f>
        <v/>
      </c>
      <c r="B18" s="5" t="n"/>
      <c r="C18" s="15" t="n"/>
      <c r="D18" s="5" t="n"/>
      <c r="E18" s="15" t="n"/>
      <c r="F18" s="5" t="n"/>
      <c r="G18" s="6" t="n"/>
      <c r="H18" s="16" t="n"/>
      <c r="I18" s="16" t="n"/>
      <c r="J18" s="15">
        <f>IF(AND(ISNUMBER(H18),ISNUMBER(I18)),I18-H18+1,"")</f>
        <v/>
      </c>
      <c r="K18" s="5" t="n"/>
      <c r="L18" s="5" t="n"/>
      <c r="M18" s="5" t="n"/>
      <c r="N18" s="5" t="n"/>
      <c r="O18" s="5" t="n"/>
      <c r="Q18" s="10">
        <f>IF(TRIM(G18&amp;"")="","",TRIM(G18&amp;""))</f>
        <v/>
      </c>
      <c r="R18" s="10">
        <f>IF(TRIM(B18&amp;"")="","",IFERROR(INDEX(코드표!$K$2:$K$101,MATCH(TRIM(B18&amp;""),코드표!$J$2:$J$101,0)),"⚠"&amp;TRIM(B18&amp;"")))</f>
        <v/>
      </c>
      <c r="S18" s="10">
        <f>IF(TRIM(K18&amp;"")="","",IFERROR(INDEX(코드표!$K$2:$K$101,MATCH(TRIM(K18&amp;""),코드표!$J$2:$J$101,0)),"⚠"&amp;TRIM(K18&amp;"")))</f>
        <v/>
      </c>
      <c r="T18" s="10">
        <f>IF(TRIM(M18&amp;"")="","",IF(ISNUMBER(MATCH(TRIM(M18&amp;""),코드표!$C$2:$C$11,0)),TRIM(M18&amp;""),"⚠"&amp;TRIM(M18&amp;"")))</f>
        <v/>
      </c>
      <c r="U18" s="10">
        <f>IF(TRIM(L18&amp;"")="","",IFERROR(INDEX(코드표!$G$2:$G$101,MATCH(TRIM(L18&amp;""),코드표!$F$2:$F$101,0)),"⚠"&amp;TRIM(L18&amp;"")))</f>
        <v/>
      </c>
      <c r="V18" s="10">
        <f>IF(AND(ISNUMBER(H18),ISNUMBER(I18)),I18-H18+1,"")</f>
        <v/>
      </c>
      <c r="W18" s="17">
        <f>IF(ISNUMBER(H18),MAX(0,MIN(IF(ISNUMBER(I18),I18,EOMONTH(요약!$B$3,0)),EOMONTH(요약!$B$3,0))-MAX(H18,요약!$B$3)+1),0)</f>
        <v/>
      </c>
      <c r="X18" s="10">
        <f>IF(OR(NOT(ISNUMBER(H18)),Q18=""),"",IF(TODAY()&lt;H18,"파견예정",IF(AND(ISNUMBER(I18),TODAY()&gt;I18),"파견종료","파견중")))</f>
        <v/>
      </c>
      <c r="Y18" s="10">
        <f>IF(OR(Q18="",X18=""),"",Q18&amp;"|"&amp;X18)</f>
        <v/>
      </c>
      <c r="Z18" s="10">
        <f>IF(AND(Q18&lt;&gt;"",W18&gt;0),Q18&amp;"|월","")</f>
        <v/>
      </c>
      <c r="AA18" s="10">
        <f>IF(COUNTA(B18:N18)=0,"",IF(Q18="","등록번호 없음",IF(LEFT(R18,1)="⚠","모병원명 미등록",IF(S18="","파견병원 입력",IF(LEFT(S18,1)="⚠","파견병원명 미등록",IF(LEFT(U18,1)="⚠","파견과목 미등록",IF(OR(T18="",LEFT(T18,1)="⚠"),"파견근거 확인",IF(NOT(AND(ISNUMBER(H18),ISNUMBER(I18))),"날짜 형식/누락",IF(I18&lt;H18,"종료일&lt;시작일","")))))))))</f>
        <v/>
      </c>
      <c r="AB18" s="11">
        <f>IF(ISNUMBER(SEARCH("다기관",TRIM(N18&amp;" "&amp;O18))),IFERROR(DATE(VALUE(MID(TRIM(N18&amp;" "&amp;O18),1,4)),VALUE(MID(TRIM(N18&amp;" "&amp;O18),6,2)),VALUE(MID(TRIM(N18&amp;" "&amp;O18),9,2))),IF(ISNUMBER(H18),H18,"")),"")</f>
        <v/>
      </c>
      <c r="AC18" s="11">
        <f>IF(ISNUMBER(SEARCH("다기관",TRIM(N18&amp;" "&amp;O18))),IFERROR(DATE(VALUE(MID(TRIM(N18&amp;" "&amp;O18),12,4)),VALUE(MID(TRIM(N18&amp;" "&amp;O18),17,2)),VALUE(MID(TRIM(N18&amp;" "&amp;O18),20,2))),IF(ISNUMBER(I18),I18,"")),"")</f>
        <v/>
      </c>
      <c r="AD18" s="17">
        <f>IF(AND(ISNUMBER(AB18),ISNUMBER(AC18)),MAX(0,MIN(AC18,EOMONTH(요약!$B$3,0))-MAX(AB18,요약!$B$3)+1),0)</f>
        <v/>
      </c>
      <c r="AE18" s="10">
        <f>IF(AND(Q18&lt;&gt;"",ISNUMBER(AB18)),Q18&amp;"|다기관","")</f>
        <v/>
      </c>
    </row>
    <row r="19">
      <c r="A19" s="15">
        <f>IF(F19="","",ROW()-3)</f>
        <v/>
      </c>
      <c r="B19" s="5" t="n"/>
      <c r="C19" s="15" t="n"/>
      <c r="D19" s="5" t="n"/>
      <c r="E19" s="15" t="n"/>
      <c r="F19" s="5" t="n"/>
      <c r="G19" s="6" t="n"/>
      <c r="H19" s="16" t="n"/>
      <c r="I19" s="16" t="n"/>
      <c r="J19" s="15">
        <f>IF(AND(ISNUMBER(H19),ISNUMBER(I19)),I19-H19+1,"")</f>
        <v/>
      </c>
      <c r="K19" s="5" t="n"/>
      <c r="L19" s="5" t="n"/>
      <c r="M19" s="5" t="n"/>
      <c r="N19" s="5" t="n"/>
      <c r="O19" s="5" t="n"/>
      <c r="Q19" s="10">
        <f>IF(TRIM(G19&amp;"")="","",TRIM(G19&amp;""))</f>
        <v/>
      </c>
      <c r="R19" s="10">
        <f>IF(TRIM(B19&amp;"")="","",IFERROR(INDEX(코드표!$K$2:$K$101,MATCH(TRIM(B19&amp;""),코드표!$J$2:$J$101,0)),"⚠"&amp;TRIM(B19&amp;"")))</f>
        <v/>
      </c>
      <c r="S19" s="10">
        <f>IF(TRIM(K19&amp;"")="","",IFERROR(INDEX(코드표!$K$2:$K$101,MATCH(TRIM(K19&amp;""),코드표!$J$2:$J$101,0)),"⚠"&amp;TRIM(K19&amp;"")))</f>
        <v/>
      </c>
      <c r="T19" s="10">
        <f>IF(TRIM(M19&amp;"")="","",IF(ISNUMBER(MATCH(TRIM(M19&amp;""),코드표!$C$2:$C$11,0)),TRIM(M19&amp;""),"⚠"&amp;TRIM(M19&amp;"")))</f>
        <v/>
      </c>
      <c r="U19" s="10">
        <f>IF(TRIM(L19&amp;"")="","",IFERROR(INDEX(코드표!$G$2:$G$101,MATCH(TRIM(L19&amp;""),코드표!$F$2:$F$101,0)),"⚠"&amp;TRIM(L19&amp;"")))</f>
        <v/>
      </c>
      <c r="V19" s="10">
        <f>IF(AND(ISNUMBER(H19),ISNUMBER(I19)),I19-H19+1,"")</f>
        <v/>
      </c>
      <c r="W19" s="17">
        <f>IF(ISNUMBER(H19),MAX(0,MIN(IF(ISNUMBER(I19),I19,EOMONTH(요약!$B$3,0)),EOMONTH(요약!$B$3,0))-MAX(H19,요약!$B$3)+1),0)</f>
        <v/>
      </c>
      <c r="X19" s="10">
        <f>IF(OR(NOT(ISNUMBER(H19)),Q19=""),"",IF(TODAY()&lt;H19,"파견예정",IF(AND(ISNUMBER(I19),TODAY()&gt;I19),"파견종료","파견중")))</f>
        <v/>
      </c>
      <c r="Y19" s="10">
        <f>IF(OR(Q19="",X19=""),"",Q19&amp;"|"&amp;X19)</f>
        <v/>
      </c>
      <c r="Z19" s="10">
        <f>IF(AND(Q19&lt;&gt;"",W19&gt;0),Q19&amp;"|월","")</f>
        <v/>
      </c>
      <c r="AA19" s="10">
        <f>IF(COUNTA(B19:N19)=0,"",IF(Q19="","등록번호 없음",IF(LEFT(R19,1)="⚠","모병원명 미등록",IF(S19="","파견병원 입력",IF(LEFT(S19,1)="⚠","파견병원명 미등록",IF(LEFT(U19,1)="⚠","파견과목 미등록",IF(OR(T19="",LEFT(T19,1)="⚠"),"파견근거 확인",IF(NOT(AND(ISNUMBER(H19),ISNUMBER(I19))),"날짜 형식/누락",IF(I19&lt;H19,"종료일&lt;시작일","")))))))))</f>
        <v/>
      </c>
      <c r="AB19" s="11">
        <f>IF(ISNUMBER(SEARCH("다기관",TRIM(N19&amp;" "&amp;O19))),IFERROR(DATE(VALUE(MID(TRIM(N19&amp;" "&amp;O19),1,4)),VALUE(MID(TRIM(N19&amp;" "&amp;O19),6,2)),VALUE(MID(TRIM(N19&amp;" "&amp;O19),9,2))),IF(ISNUMBER(H19),H19,"")),"")</f>
        <v/>
      </c>
      <c r="AC19" s="11">
        <f>IF(ISNUMBER(SEARCH("다기관",TRIM(N19&amp;" "&amp;O19))),IFERROR(DATE(VALUE(MID(TRIM(N19&amp;" "&amp;O19),12,4)),VALUE(MID(TRIM(N19&amp;" "&amp;O19),17,2)),VALUE(MID(TRIM(N19&amp;" "&amp;O19),20,2))),IF(ISNUMBER(I19),I19,"")),"")</f>
        <v/>
      </c>
      <c r="AD19" s="17">
        <f>IF(AND(ISNUMBER(AB19),ISNUMBER(AC19)),MAX(0,MIN(AC19,EOMONTH(요약!$B$3,0))-MAX(AB19,요약!$B$3)+1),0)</f>
        <v/>
      </c>
      <c r="AE19" s="10">
        <f>IF(AND(Q19&lt;&gt;"",ISNUMBER(AB19)),Q19&amp;"|다기관","")</f>
        <v/>
      </c>
    </row>
    <row r="20">
      <c r="A20" s="15">
        <f>IF(F20="","",ROW()-3)</f>
        <v/>
      </c>
      <c r="B20" s="5" t="n"/>
      <c r="C20" s="15" t="n"/>
      <c r="D20" s="5" t="n"/>
      <c r="E20" s="15" t="n"/>
      <c r="F20" s="5" t="n"/>
      <c r="G20" s="6" t="n"/>
      <c r="H20" s="16" t="n"/>
      <c r="I20" s="16" t="n"/>
      <c r="J20" s="15">
        <f>IF(AND(ISNUMBER(H20),ISNUMBER(I20)),I20-H20+1,"")</f>
        <v/>
      </c>
      <c r="K20" s="5" t="n"/>
      <c r="L20" s="5" t="n"/>
      <c r="M20" s="5" t="n"/>
      <c r="N20" s="5" t="n"/>
      <c r="O20" s="5" t="n"/>
      <c r="Q20" s="10">
        <f>IF(TRIM(G20&amp;"")="","",TRIM(G20&amp;""))</f>
        <v/>
      </c>
      <c r="R20" s="10">
        <f>IF(TRIM(B20&amp;"")="","",IFERROR(INDEX(코드표!$K$2:$K$101,MATCH(TRIM(B20&amp;""),코드표!$J$2:$J$101,0)),"⚠"&amp;TRIM(B20&amp;"")))</f>
        <v/>
      </c>
      <c r="S20" s="10">
        <f>IF(TRIM(K20&amp;"")="","",IFERROR(INDEX(코드표!$K$2:$K$101,MATCH(TRIM(K20&amp;""),코드표!$J$2:$J$101,0)),"⚠"&amp;TRIM(K20&amp;"")))</f>
        <v/>
      </c>
      <c r="T20" s="10">
        <f>IF(TRIM(M20&amp;"")="","",IF(ISNUMBER(MATCH(TRIM(M20&amp;""),코드표!$C$2:$C$11,0)),TRIM(M20&amp;""),"⚠"&amp;TRIM(M20&amp;"")))</f>
        <v/>
      </c>
      <c r="U20" s="10">
        <f>IF(TRIM(L20&amp;"")="","",IFERROR(INDEX(코드표!$G$2:$G$101,MATCH(TRIM(L20&amp;""),코드표!$F$2:$F$101,0)),"⚠"&amp;TRIM(L20&amp;"")))</f>
        <v/>
      </c>
      <c r="V20" s="10">
        <f>IF(AND(ISNUMBER(H20),ISNUMBER(I20)),I20-H20+1,"")</f>
        <v/>
      </c>
      <c r="W20" s="17">
        <f>IF(ISNUMBER(H20),MAX(0,MIN(IF(ISNUMBER(I20),I20,EOMONTH(요약!$B$3,0)),EOMONTH(요약!$B$3,0))-MAX(H20,요약!$B$3)+1),0)</f>
        <v/>
      </c>
      <c r="X20" s="10">
        <f>IF(OR(NOT(ISNUMBER(H20)),Q20=""),"",IF(TODAY()&lt;H20,"파견예정",IF(AND(ISNUMBER(I20),TODAY()&gt;I20),"파견종료","파견중")))</f>
        <v/>
      </c>
      <c r="Y20" s="10">
        <f>IF(OR(Q20="",X20=""),"",Q20&amp;"|"&amp;X20)</f>
        <v/>
      </c>
      <c r="Z20" s="10">
        <f>IF(AND(Q20&lt;&gt;"",W20&gt;0),Q20&amp;"|월","")</f>
        <v/>
      </c>
      <c r="AA20" s="10">
        <f>IF(COUNTA(B20:N20)=0,"",IF(Q20="","등록번호 없음",IF(LEFT(R20,1)="⚠","모병원명 미등록",IF(S20="","파견병원 입력",IF(LEFT(S20,1)="⚠","파견병원명 미등록",IF(LEFT(U20,1)="⚠","파견과목 미등록",IF(OR(T20="",LEFT(T20,1)="⚠"),"파견근거 확인",IF(NOT(AND(ISNUMBER(H20),ISNUMBER(I20))),"날짜 형식/누락",IF(I20&lt;H20,"종료일&lt;시작일","")))))))))</f>
        <v/>
      </c>
      <c r="AB20" s="11">
        <f>IF(ISNUMBER(SEARCH("다기관",TRIM(N20&amp;" "&amp;O20))),IFERROR(DATE(VALUE(MID(TRIM(N20&amp;" "&amp;O20),1,4)),VALUE(MID(TRIM(N20&amp;" "&amp;O20),6,2)),VALUE(MID(TRIM(N20&amp;" "&amp;O20),9,2))),IF(ISNUMBER(H20),H20,"")),"")</f>
        <v/>
      </c>
      <c r="AC20" s="11">
        <f>IF(ISNUMBER(SEARCH("다기관",TRIM(N20&amp;" "&amp;O20))),IFERROR(DATE(VALUE(MID(TRIM(N20&amp;" "&amp;O20),12,4)),VALUE(MID(TRIM(N20&amp;" "&amp;O20),17,2)),VALUE(MID(TRIM(N20&amp;" "&amp;O20),20,2))),IF(ISNUMBER(I20),I20,"")),"")</f>
        <v/>
      </c>
      <c r="AD20" s="17">
        <f>IF(AND(ISNUMBER(AB20),ISNUMBER(AC20)),MAX(0,MIN(AC20,EOMONTH(요약!$B$3,0))-MAX(AB20,요약!$B$3)+1),0)</f>
        <v/>
      </c>
      <c r="AE20" s="10">
        <f>IF(AND(Q20&lt;&gt;"",ISNUMBER(AB20)),Q20&amp;"|다기관","")</f>
        <v/>
      </c>
    </row>
    <row r="21">
      <c r="A21" s="15">
        <f>IF(F21="","",ROW()-3)</f>
        <v/>
      </c>
      <c r="B21" s="5" t="n"/>
      <c r="C21" s="15" t="n"/>
      <c r="D21" s="5" t="n"/>
      <c r="E21" s="15" t="n"/>
      <c r="F21" s="5" t="n"/>
      <c r="G21" s="6" t="n"/>
      <c r="H21" s="16" t="n"/>
      <c r="I21" s="16" t="n"/>
      <c r="J21" s="15">
        <f>IF(AND(ISNUMBER(H21),ISNUMBER(I21)),I21-H21+1,"")</f>
        <v/>
      </c>
      <c r="K21" s="5" t="n"/>
      <c r="L21" s="5" t="n"/>
      <c r="M21" s="5" t="n"/>
      <c r="N21" s="5" t="n"/>
      <c r="O21" s="5" t="n"/>
      <c r="Q21" s="10">
        <f>IF(TRIM(G21&amp;"")="","",TRIM(G21&amp;""))</f>
        <v/>
      </c>
      <c r="R21" s="10">
        <f>IF(TRIM(B21&amp;"")="","",IFERROR(INDEX(코드표!$K$2:$K$101,MATCH(TRIM(B21&amp;""),코드표!$J$2:$J$101,0)),"⚠"&amp;TRIM(B21&amp;"")))</f>
        <v/>
      </c>
      <c r="S21" s="10">
        <f>IF(TRIM(K21&amp;"")="","",IFERROR(INDEX(코드표!$K$2:$K$101,MATCH(TRIM(K21&amp;""),코드표!$J$2:$J$101,0)),"⚠"&amp;TRIM(K21&amp;"")))</f>
        <v/>
      </c>
      <c r="T21" s="10">
        <f>IF(TRIM(M21&amp;"")="","",IF(ISNUMBER(MATCH(TRIM(M21&amp;""),코드표!$C$2:$C$11,0)),TRIM(M21&amp;""),"⚠"&amp;TRIM(M21&amp;"")))</f>
        <v/>
      </c>
      <c r="U21" s="10">
        <f>IF(TRIM(L21&amp;"")="","",IFERROR(INDEX(코드표!$G$2:$G$101,MATCH(TRIM(L21&amp;""),코드표!$F$2:$F$101,0)),"⚠"&amp;TRIM(L21&amp;"")))</f>
        <v/>
      </c>
      <c r="V21" s="10">
        <f>IF(AND(ISNUMBER(H21),ISNUMBER(I21)),I21-H21+1,"")</f>
        <v/>
      </c>
      <c r="W21" s="17">
        <f>IF(ISNUMBER(H21),MAX(0,MIN(IF(ISNUMBER(I21),I21,EOMONTH(요약!$B$3,0)),EOMONTH(요약!$B$3,0))-MAX(H21,요약!$B$3)+1),0)</f>
        <v/>
      </c>
      <c r="X21" s="10">
        <f>IF(OR(NOT(ISNUMBER(H21)),Q21=""),"",IF(TODAY()&lt;H21,"파견예정",IF(AND(ISNUMBER(I21),TODAY()&gt;I21),"파견종료","파견중")))</f>
        <v/>
      </c>
      <c r="Y21" s="10">
        <f>IF(OR(Q21="",X21=""),"",Q21&amp;"|"&amp;X21)</f>
        <v/>
      </c>
      <c r="Z21" s="10">
        <f>IF(AND(Q21&lt;&gt;"",W21&gt;0),Q21&amp;"|월","")</f>
        <v/>
      </c>
      <c r="AA21" s="10">
        <f>IF(COUNTA(B21:N21)=0,"",IF(Q21="","등록번호 없음",IF(LEFT(R21,1)="⚠","모병원명 미등록",IF(S21="","파견병원 입력",IF(LEFT(S21,1)="⚠","파견병원명 미등록",IF(LEFT(U21,1)="⚠","파견과목 미등록",IF(OR(T21="",LEFT(T21,1)="⚠"),"파견근거 확인",IF(NOT(AND(ISNUMBER(H21),ISNUMBER(I21))),"날짜 형식/누락",IF(I21&lt;H21,"종료일&lt;시작일","")))))))))</f>
        <v/>
      </c>
      <c r="AB21" s="11">
        <f>IF(ISNUMBER(SEARCH("다기관",TRIM(N21&amp;" "&amp;O21))),IFERROR(DATE(VALUE(MID(TRIM(N21&amp;" "&amp;O21),1,4)),VALUE(MID(TRIM(N21&amp;" "&amp;O21),6,2)),VALUE(MID(TRIM(N21&amp;" "&amp;O21),9,2))),IF(ISNUMBER(H21),H21,"")),"")</f>
        <v/>
      </c>
      <c r="AC21" s="11">
        <f>IF(ISNUMBER(SEARCH("다기관",TRIM(N21&amp;" "&amp;O21))),IFERROR(DATE(VALUE(MID(TRIM(N21&amp;" "&amp;O21),12,4)),VALUE(MID(TRIM(N21&amp;" "&amp;O21),17,2)),VALUE(MID(TRIM(N21&amp;" "&amp;O21),20,2))),IF(ISNUMBER(I21),I21,"")),"")</f>
        <v/>
      </c>
      <c r="AD21" s="17">
        <f>IF(AND(ISNUMBER(AB21),ISNUMBER(AC21)),MAX(0,MIN(AC21,EOMONTH(요약!$B$3,0))-MAX(AB21,요약!$B$3)+1),0)</f>
        <v/>
      </c>
      <c r="AE21" s="10">
        <f>IF(AND(Q21&lt;&gt;"",ISNUMBER(AB21)),Q21&amp;"|다기관","")</f>
        <v/>
      </c>
    </row>
    <row r="22">
      <c r="A22" s="15">
        <f>IF(F22="","",ROW()-3)</f>
        <v/>
      </c>
      <c r="B22" s="5" t="n"/>
      <c r="C22" s="15" t="n"/>
      <c r="D22" s="5" t="n"/>
      <c r="E22" s="15" t="n"/>
      <c r="F22" s="5" t="n"/>
      <c r="G22" s="6" t="n"/>
      <c r="H22" s="16" t="n"/>
      <c r="I22" s="16" t="n"/>
      <c r="J22" s="15">
        <f>IF(AND(ISNUMBER(H22),ISNUMBER(I22)),I22-H22+1,"")</f>
        <v/>
      </c>
      <c r="K22" s="5" t="n"/>
      <c r="L22" s="5" t="n"/>
      <c r="M22" s="5" t="n"/>
      <c r="N22" s="5" t="n"/>
      <c r="O22" s="5" t="n"/>
      <c r="Q22" s="10">
        <f>IF(TRIM(G22&amp;"")="","",TRIM(G22&amp;""))</f>
        <v/>
      </c>
      <c r="R22" s="10">
        <f>IF(TRIM(B22&amp;"")="","",IFERROR(INDEX(코드표!$K$2:$K$101,MATCH(TRIM(B22&amp;""),코드표!$J$2:$J$101,0)),"⚠"&amp;TRIM(B22&amp;"")))</f>
        <v/>
      </c>
      <c r="S22" s="10">
        <f>IF(TRIM(K22&amp;"")="","",IFERROR(INDEX(코드표!$K$2:$K$101,MATCH(TRIM(K22&amp;""),코드표!$J$2:$J$101,0)),"⚠"&amp;TRIM(K22&amp;"")))</f>
        <v/>
      </c>
      <c r="T22" s="10">
        <f>IF(TRIM(M22&amp;"")="","",IF(ISNUMBER(MATCH(TRIM(M22&amp;""),코드표!$C$2:$C$11,0)),TRIM(M22&amp;""),"⚠"&amp;TRIM(M22&amp;"")))</f>
        <v/>
      </c>
      <c r="U22" s="10">
        <f>IF(TRIM(L22&amp;"")="","",IFERROR(INDEX(코드표!$G$2:$G$101,MATCH(TRIM(L22&amp;""),코드표!$F$2:$F$101,0)),"⚠"&amp;TRIM(L22&amp;"")))</f>
        <v/>
      </c>
      <c r="V22" s="10">
        <f>IF(AND(ISNUMBER(H22),ISNUMBER(I22)),I22-H22+1,"")</f>
        <v/>
      </c>
      <c r="W22" s="17">
        <f>IF(ISNUMBER(H22),MAX(0,MIN(IF(ISNUMBER(I22),I22,EOMONTH(요약!$B$3,0)),EOMONTH(요약!$B$3,0))-MAX(H22,요약!$B$3)+1),0)</f>
        <v/>
      </c>
      <c r="X22" s="10">
        <f>IF(OR(NOT(ISNUMBER(H22)),Q22=""),"",IF(TODAY()&lt;H22,"파견예정",IF(AND(ISNUMBER(I22),TODAY()&gt;I22),"파견종료","파견중")))</f>
        <v/>
      </c>
      <c r="Y22" s="10">
        <f>IF(OR(Q22="",X22=""),"",Q22&amp;"|"&amp;X22)</f>
        <v/>
      </c>
      <c r="Z22" s="10">
        <f>IF(AND(Q22&lt;&gt;"",W22&gt;0),Q22&amp;"|월","")</f>
        <v/>
      </c>
      <c r="AA22" s="10">
        <f>IF(COUNTA(B22:N22)=0,"",IF(Q22="","등록번호 없음",IF(LEFT(R22,1)="⚠","모병원명 미등록",IF(S22="","파견병원 입력",IF(LEFT(S22,1)="⚠","파견병원명 미등록",IF(LEFT(U22,1)="⚠","파견과목 미등록",IF(OR(T22="",LEFT(T22,1)="⚠"),"파견근거 확인",IF(NOT(AND(ISNUMBER(H22),ISNUMBER(I22))),"날짜 형식/누락",IF(I22&lt;H22,"종료일&lt;시작일","")))))))))</f>
        <v/>
      </c>
      <c r="AB22" s="11">
        <f>IF(ISNUMBER(SEARCH("다기관",TRIM(N22&amp;" "&amp;O22))),IFERROR(DATE(VALUE(MID(TRIM(N22&amp;" "&amp;O22),1,4)),VALUE(MID(TRIM(N22&amp;" "&amp;O22),6,2)),VALUE(MID(TRIM(N22&amp;" "&amp;O22),9,2))),IF(ISNUMBER(H22),H22,"")),"")</f>
        <v/>
      </c>
      <c r="AC22" s="11">
        <f>IF(ISNUMBER(SEARCH("다기관",TRIM(N22&amp;" "&amp;O22))),IFERROR(DATE(VALUE(MID(TRIM(N22&amp;" "&amp;O22),12,4)),VALUE(MID(TRIM(N22&amp;" "&amp;O22),17,2)),VALUE(MID(TRIM(N22&amp;" "&amp;O22),20,2))),IF(ISNUMBER(I22),I22,"")),"")</f>
        <v/>
      </c>
      <c r="AD22" s="17">
        <f>IF(AND(ISNUMBER(AB22),ISNUMBER(AC22)),MAX(0,MIN(AC22,EOMONTH(요약!$B$3,0))-MAX(AB22,요약!$B$3)+1),0)</f>
        <v/>
      </c>
      <c r="AE22" s="10">
        <f>IF(AND(Q22&lt;&gt;"",ISNUMBER(AB22)),Q22&amp;"|다기관","")</f>
        <v/>
      </c>
    </row>
    <row r="23">
      <c r="A23" s="15">
        <f>IF(F23="","",ROW()-3)</f>
        <v/>
      </c>
      <c r="B23" s="5" t="n"/>
      <c r="C23" s="15" t="n"/>
      <c r="D23" s="5" t="n"/>
      <c r="E23" s="15" t="n"/>
      <c r="F23" s="5" t="n"/>
      <c r="G23" s="6" t="n"/>
      <c r="H23" s="16" t="n"/>
      <c r="I23" s="16" t="n"/>
      <c r="J23" s="15">
        <f>IF(AND(ISNUMBER(H23),ISNUMBER(I23)),I23-H23+1,"")</f>
        <v/>
      </c>
      <c r="K23" s="5" t="n"/>
      <c r="L23" s="5" t="n"/>
      <c r="M23" s="5" t="n"/>
      <c r="N23" s="5" t="n"/>
      <c r="O23" s="5" t="n"/>
      <c r="Q23" s="10">
        <f>IF(TRIM(G23&amp;"")="","",TRIM(G23&amp;""))</f>
        <v/>
      </c>
      <c r="R23" s="10">
        <f>IF(TRIM(B23&amp;"")="","",IFERROR(INDEX(코드표!$K$2:$K$101,MATCH(TRIM(B23&amp;""),코드표!$J$2:$J$101,0)),"⚠"&amp;TRIM(B23&amp;"")))</f>
        <v/>
      </c>
      <c r="S23" s="10">
        <f>IF(TRIM(K23&amp;"")="","",IFERROR(INDEX(코드표!$K$2:$K$101,MATCH(TRIM(K23&amp;""),코드표!$J$2:$J$101,0)),"⚠"&amp;TRIM(K23&amp;"")))</f>
        <v/>
      </c>
      <c r="T23" s="10">
        <f>IF(TRIM(M23&amp;"")="","",IF(ISNUMBER(MATCH(TRIM(M23&amp;""),코드표!$C$2:$C$11,0)),TRIM(M23&amp;""),"⚠"&amp;TRIM(M23&amp;"")))</f>
        <v/>
      </c>
      <c r="U23" s="10">
        <f>IF(TRIM(L23&amp;"")="","",IFERROR(INDEX(코드표!$G$2:$G$101,MATCH(TRIM(L23&amp;""),코드표!$F$2:$F$101,0)),"⚠"&amp;TRIM(L23&amp;"")))</f>
        <v/>
      </c>
      <c r="V23" s="10">
        <f>IF(AND(ISNUMBER(H23),ISNUMBER(I23)),I23-H23+1,"")</f>
        <v/>
      </c>
      <c r="W23" s="17">
        <f>IF(ISNUMBER(H23),MAX(0,MIN(IF(ISNUMBER(I23),I23,EOMONTH(요약!$B$3,0)),EOMONTH(요약!$B$3,0))-MAX(H23,요약!$B$3)+1),0)</f>
        <v/>
      </c>
      <c r="X23" s="10">
        <f>IF(OR(NOT(ISNUMBER(H23)),Q23=""),"",IF(TODAY()&lt;H23,"파견예정",IF(AND(ISNUMBER(I23),TODAY()&gt;I23),"파견종료","파견중")))</f>
        <v/>
      </c>
      <c r="Y23" s="10">
        <f>IF(OR(Q23="",X23=""),"",Q23&amp;"|"&amp;X23)</f>
        <v/>
      </c>
      <c r="Z23" s="10">
        <f>IF(AND(Q23&lt;&gt;"",W23&gt;0),Q23&amp;"|월","")</f>
        <v/>
      </c>
      <c r="AA23" s="10">
        <f>IF(COUNTA(B23:N23)=0,"",IF(Q23="","등록번호 없음",IF(LEFT(R23,1)="⚠","모병원명 미등록",IF(S23="","파견병원 입력",IF(LEFT(S23,1)="⚠","파견병원명 미등록",IF(LEFT(U23,1)="⚠","파견과목 미등록",IF(OR(T23="",LEFT(T23,1)="⚠"),"파견근거 확인",IF(NOT(AND(ISNUMBER(H23),ISNUMBER(I23))),"날짜 형식/누락",IF(I23&lt;H23,"종료일&lt;시작일","")))))))))</f>
        <v/>
      </c>
      <c r="AB23" s="11">
        <f>IF(ISNUMBER(SEARCH("다기관",TRIM(N23&amp;" "&amp;O23))),IFERROR(DATE(VALUE(MID(TRIM(N23&amp;" "&amp;O23),1,4)),VALUE(MID(TRIM(N23&amp;" "&amp;O23),6,2)),VALUE(MID(TRIM(N23&amp;" "&amp;O23),9,2))),IF(ISNUMBER(H23),H23,"")),"")</f>
        <v/>
      </c>
      <c r="AC23" s="11">
        <f>IF(ISNUMBER(SEARCH("다기관",TRIM(N23&amp;" "&amp;O23))),IFERROR(DATE(VALUE(MID(TRIM(N23&amp;" "&amp;O23),12,4)),VALUE(MID(TRIM(N23&amp;" "&amp;O23),17,2)),VALUE(MID(TRIM(N23&amp;" "&amp;O23),20,2))),IF(ISNUMBER(I23),I23,"")),"")</f>
        <v/>
      </c>
      <c r="AD23" s="17">
        <f>IF(AND(ISNUMBER(AB23),ISNUMBER(AC23)),MAX(0,MIN(AC23,EOMONTH(요약!$B$3,0))-MAX(AB23,요약!$B$3)+1),0)</f>
        <v/>
      </c>
      <c r="AE23" s="10">
        <f>IF(AND(Q23&lt;&gt;"",ISNUMBER(AB23)),Q23&amp;"|다기관","")</f>
        <v/>
      </c>
    </row>
    <row r="24">
      <c r="A24" s="15">
        <f>IF(F24="","",ROW()-3)</f>
        <v/>
      </c>
      <c r="B24" s="5" t="n"/>
      <c r="C24" s="15" t="n"/>
      <c r="D24" s="5" t="n"/>
      <c r="E24" s="15" t="n"/>
      <c r="F24" s="5" t="n"/>
      <c r="G24" s="6" t="n"/>
      <c r="H24" s="16" t="n"/>
      <c r="I24" s="16" t="n"/>
      <c r="J24" s="15">
        <f>IF(AND(ISNUMBER(H24),ISNUMBER(I24)),I24-H24+1,"")</f>
        <v/>
      </c>
      <c r="K24" s="5" t="n"/>
      <c r="L24" s="5" t="n"/>
      <c r="M24" s="5" t="n"/>
      <c r="N24" s="5" t="n"/>
      <c r="O24" s="5" t="n"/>
      <c r="Q24" s="10">
        <f>IF(TRIM(G24&amp;"")="","",TRIM(G24&amp;""))</f>
        <v/>
      </c>
      <c r="R24" s="10">
        <f>IF(TRIM(B24&amp;"")="","",IFERROR(INDEX(코드표!$K$2:$K$101,MATCH(TRIM(B24&amp;""),코드표!$J$2:$J$101,0)),"⚠"&amp;TRIM(B24&amp;"")))</f>
        <v/>
      </c>
      <c r="S24" s="10">
        <f>IF(TRIM(K24&amp;"")="","",IFERROR(INDEX(코드표!$K$2:$K$101,MATCH(TRIM(K24&amp;""),코드표!$J$2:$J$101,0)),"⚠"&amp;TRIM(K24&amp;"")))</f>
        <v/>
      </c>
      <c r="T24" s="10">
        <f>IF(TRIM(M24&amp;"")="","",IF(ISNUMBER(MATCH(TRIM(M24&amp;""),코드표!$C$2:$C$11,0)),TRIM(M24&amp;""),"⚠"&amp;TRIM(M24&amp;"")))</f>
        <v/>
      </c>
      <c r="U24" s="10">
        <f>IF(TRIM(L24&amp;"")="","",IFERROR(INDEX(코드표!$G$2:$G$101,MATCH(TRIM(L24&amp;""),코드표!$F$2:$F$101,0)),"⚠"&amp;TRIM(L24&amp;"")))</f>
        <v/>
      </c>
      <c r="V24" s="10">
        <f>IF(AND(ISNUMBER(H24),ISNUMBER(I24)),I24-H24+1,"")</f>
        <v/>
      </c>
      <c r="W24" s="17">
        <f>IF(ISNUMBER(H24),MAX(0,MIN(IF(ISNUMBER(I24),I24,EOMONTH(요약!$B$3,0)),EOMONTH(요약!$B$3,0))-MAX(H24,요약!$B$3)+1),0)</f>
        <v/>
      </c>
      <c r="X24" s="10">
        <f>IF(OR(NOT(ISNUMBER(H24)),Q24=""),"",IF(TODAY()&lt;H24,"파견예정",IF(AND(ISNUMBER(I24),TODAY()&gt;I24),"파견종료","파견중")))</f>
        <v/>
      </c>
      <c r="Y24" s="10">
        <f>IF(OR(Q24="",X24=""),"",Q24&amp;"|"&amp;X24)</f>
        <v/>
      </c>
      <c r="Z24" s="10">
        <f>IF(AND(Q24&lt;&gt;"",W24&gt;0),Q24&amp;"|월","")</f>
        <v/>
      </c>
      <c r="AA24" s="10">
        <f>IF(COUNTA(B24:N24)=0,"",IF(Q24="","등록번호 없음",IF(LEFT(R24,1)="⚠","모병원명 미등록",IF(S24="","파견병원 입력",IF(LEFT(S24,1)="⚠","파견병원명 미등록",IF(LEFT(U24,1)="⚠","파견과목 미등록",IF(OR(T24="",LEFT(T24,1)="⚠"),"파견근거 확인",IF(NOT(AND(ISNUMBER(H24),ISNUMBER(I24))),"날짜 형식/누락",IF(I24&lt;H24,"종료일&lt;시작일","")))))))))</f>
        <v/>
      </c>
      <c r="AB24" s="11">
        <f>IF(ISNUMBER(SEARCH("다기관",TRIM(N24&amp;" "&amp;O24))),IFERROR(DATE(VALUE(MID(TRIM(N24&amp;" "&amp;O24),1,4)),VALUE(MID(TRIM(N24&amp;" "&amp;O24),6,2)),VALUE(MID(TRIM(N24&amp;" "&amp;O24),9,2))),IF(ISNUMBER(H24),H24,"")),"")</f>
        <v/>
      </c>
      <c r="AC24" s="11">
        <f>IF(ISNUMBER(SEARCH("다기관",TRIM(N24&amp;" "&amp;O24))),IFERROR(DATE(VALUE(MID(TRIM(N24&amp;" "&amp;O24),12,4)),VALUE(MID(TRIM(N24&amp;" "&amp;O24),17,2)),VALUE(MID(TRIM(N24&amp;" "&amp;O24),20,2))),IF(ISNUMBER(I24),I24,"")),"")</f>
        <v/>
      </c>
      <c r="AD24" s="17">
        <f>IF(AND(ISNUMBER(AB24),ISNUMBER(AC24)),MAX(0,MIN(AC24,EOMONTH(요약!$B$3,0))-MAX(AB24,요약!$B$3)+1),0)</f>
        <v/>
      </c>
      <c r="AE24" s="10">
        <f>IF(AND(Q24&lt;&gt;"",ISNUMBER(AB24)),Q24&amp;"|다기관","")</f>
        <v/>
      </c>
    </row>
    <row r="25">
      <c r="A25" s="15">
        <f>IF(F25="","",ROW()-3)</f>
        <v/>
      </c>
      <c r="B25" s="5" t="n"/>
      <c r="C25" s="15" t="n"/>
      <c r="D25" s="5" t="n"/>
      <c r="E25" s="15" t="n"/>
      <c r="F25" s="5" t="n"/>
      <c r="G25" s="6" t="n"/>
      <c r="H25" s="16" t="n"/>
      <c r="I25" s="16" t="n"/>
      <c r="J25" s="15">
        <f>IF(AND(ISNUMBER(H25),ISNUMBER(I25)),I25-H25+1,"")</f>
        <v/>
      </c>
      <c r="K25" s="5" t="n"/>
      <c r="L25" s="5" t="n"/>
      <c r="M25" s="5" t="n"/>
      <c r="N25" s="5" t="n"/>
      <c r="O25" s="5" t="n"/>
      <c r="Q25" s="10">
        <f>IF(TRIM(G25&amp;"")="","",TRIM(G25&amp;""))</f>
        <v/>
      </c>
      <c r="R25" s="10">
        <f>IF(TRIM(B25&amp;"")="","",IFERROR(INDEX(코드표!$K$2:$K$101,MATCH(TRIM(B25&amp;""),코드표!$J$2:$J$101,0)),"⚠"&amp;TRIM(B25&amp;"")))</f>
        <v/>
      </c>
      <c r="S25" s="10">
        <f>IF(TRIM(K25&amp;"")="","",IFERROR(INDEX(코드표!$K$2:$K$101,MATCH(TRIM(K25&amp;""),코드표!$J$2:$J$101,0)),"⚠"&amp;TRIM(K25&amp;"")))</f>
        <v/>
      </c>
      <c r="T25" s="10">
        <f>IF(TRIM(M25&amp;"")="","",IF(ISNUMBER(MATCH(TRIM(M25&amp;""),코드표!$C$2:$C$11,0)),TRIM(M25&amp;""),"⚠"&amp;TRIM(M25&amp;"")))</f>
        <v/>
      </c>
      <c r="U25" s="10">
        <f>IF(TRIM(L25&amp;"")="","",IFERROR(INDEX(코드표!$G$2:$G$101,MATCH(TRIM(L25&amp;""),코드표!$F$2:$F$101,0)),"⚠"&amp;TRIM(L25&amp;"")))</f>
        <v/>
      </c>
      <c r="V25" s="10">
        <f>IF(AND(ISNUMBER(H25),ISNUMBER(I25)),I25-H25+1,"")</f>
        <v/>
      </c>
      <c r="W25" s="17">
        <f>IF(ISNUMBER(H25),MAX(0,MIN(IF(ISNUMBER(I25),I25,EOMONTH(요약!$B$3,0)),EOMONTH(요약!$B$3,0))-MAX(H25,요약!$B$3)+1),0)</f>
        <v/>
      </c>
      <c r="X25" s="10">
        <f>IF(OR(NOT(ISNUMBER(H25)),Q25=""),"",IF(TODAY()&lt;H25,"파견예정",IF(AND(ISNUMBER(I25),TODAY()&gt;I25),"파견종료","파견중")))</f>
        <v/>
      </c>
      <c r="Y25" s="10">
        <f>IF(OR(Q25="",X25=""),"",Q25&amp;"|"&amp;X25)</f>
        <v/>
      </c>
      <c r="Z25" s="10">
        <f>IF(AND(Q25&lt;&gt;"",W25&gt;0),Q25&amp;"|월","")</f>
        <v/>
      </c>
      <c r="AA25" s="10">
        <f>IF(COUNTA(B25:N25)=0,"",IF(Q25="","등록번호 없음",IF(LEFT(R25,1)="⚠","모병원명 미등록",IF(S25="","파견병원 입력",IF(LEFT(S25,1)="⚠","파견병원명 미등록",IF(LEFT(U25,1)="⚠","파견과목 미등록",IF(OR(T25="",LEFT(T25,1)="⚠"),"파견근거 확인",IF(NOT(AND(ISNUMBER(H25),ISNUMBER(I25))),"날짜 형식/누락",IF(I25&lt;H25,"종료일&lt;시작일","")))))))))</f>
        <v/>
      </c>
      <c r="AB25" s="11">
        <f>IF(ISNUMBER(SEARCH("다기관",TRIM(N25&amp;" "&amp;O25))),IFERROR(DATE(VALUE(MID(TRIM(N25&amp;" "&amp;O25),1,4)),VALUE(MID(TRIM(N25&amp;" "&amp;O25),6,2)),VALUE(MID(TRIM(N25&amp;" "&amp;O25),9,2))),IF(ISNUMBER(H25),H25,"")),"")</f>
        <v/>
      </c>
      <c r="AC25" s="11">
        <f>IF(ISNUMBER(SEARCH("다기관",TRIM(N25&amp;" "&amp;O25))),IFERROR(DATE(VALUE(MID(TRIM(N25&amp;" "&amp;O25),12,4)),VALUE(MID(TRIM(N25&amp;" "&amp;O25),17,2)),VALUE(MID(TRIM(N25&amp;" "&amp;O25),20,2))),IF(ISNUMBER(I25),I25,"")),"")</f>
        <v/>
      </c>
      <c r="AD25" s="17">
        <f>IF(AND(ISNUMBER(AB25),ISNUMBER(AC25)),MAX(0,MIN(AC25,EOMONTH(요약!$B$3,0))-MAX(AB25,요약!$B$3)+1),0)</f>
        <v/>
      </c>
      <c r="AE25" s="10">
        <f>IF(AND(Q25&lt;&gt;"",ISNUMBER(AB25)),Q25&amp;"|다기관","")</f>
        <v/>
      </c>
    </row>
    <row r="26">
      <c r="A26" s="15">
        <f>IF(F26="","",ROW()-3)</f>
        <v/>
      </c>
      <c r="B26" s="5" t="n"/>
      <c r="C26" s="15" t="n"/>
      <c r="D26" s="5" t="n"/>
      <c r="E26" s="15" t="n"/>
      <c r="F26" s="5" t="n"/>
      <c r="G26" s="6" t="n"/>
      <c r="H26" s="16" t="n"/>
      <c r="I26" s="16" t="n"/>
      <c r="J26" s="15">
        <f>IF(AND(ISNUMBER(H26),ISNUMBER(I26)),I26-H26+1,"")</f>
        <v/>
      </c>
      <c r="K26" s="5" t="n"/>
      <c r="L26" s="5" t="n"/>
      <c r="M26" s="5" t="n"/>
      <c r="N26" s="5" t="n"/>
      <c r="O26" s="5" t="n"/>
      <c r="Q26" s="10">
        <f>IF(TRIM(G26&amp;"")="","",TRIM(G26&amp;""))</f>
        <v/>
      </c>
      <c r="R26" s="10">
        <f>IF(TRIM(B26&amp;"")="","",IFERROR(INDEX(코드표!$K$2:$K$101,MATCH(TRIM(B26&amp;""),코드표!$J$2:$J$101,0)),"⚠"&amp;TRIM(B26&amp;"")))</f>
        <v/>
      </c>
      <c r="S26" s="10">
        <f>IF(TRIM(K26&amp;"")="","",IFERROR(INDEX(코드표!$K$2:$K$101,MATCH(TRIM(K26&amp;""),코드표!$J$2:$J$101,0)),"⚠"&amp;TRIM(K26&amp;"")))</f>
        <v/>
      </c>
      <c r="T26" s="10">
        <f>IF(TRIM(M26&amp;"")="","",IF(ISNUMBER(MATCH(TRIM(M26&amp;""),코드표!$C$2:$C$11,0)),TRIM(M26&amp;""),"⚠"&amp;TRIM(M26&amp;"")))</f>
        <v/>
      </c>
      <c r="U26" s="10">
        <f>IF(TRIM(L26&amp;"")="","",IFERROR(INDEX(코드표!$G$2:$G$101,MATCH(TRIM(L26&amp;""),코드표!$F$2:$F$101,0)),"⚠"&amp;TRIM(L26&amp;"")))</f>
        <v/>
      </c>
      <c r="V26" s="10">
        <f>IF(AND(ISNUMBER(H26),ISNUMBER(I26)),I26-H26+1,"")</f>
        <v/>
      </c>
      <c r="W26" s="17">
        <f>IF(ISNUMBER(H26),MAX(0,MIN(IF(ISNUMBER(I26),I26,EOMONTH(요약!$B$3,0)),EOMONTH(요약!$B$3,0))-MAX(H26,요약!$B$3)+1),0)</f>
        <v/>
      </c>
      <c r="X26" s="10">
        <f>IF(OR(NOT(ISNUMBER(H26)),Q26=""),"",IF(TODAY()&lt;H26,"파견예정",IF(AND(ISNUMBER(I26),TODAY()&gt;I26),"파견종료","파견중")))</f>
        <v/>
      </c>
      <c r="Y26" s="10">
        <f>IF(OR(Q26="",X26=""),"",Q26&amp;"|"&amp;X26)</f>
        <v/>
      </c>
      <c r="Z26" s="10">
        <f>IF(AND(Q26&lt;&gt;"",W26&gt;0),Q26&amp;"|월","")</f>
        <v/>
      </c>
      <c r="AA26" s="10">
        <f>IF(COUNTA(B26:N26)=0,"",IF(Q26="","등록번호 없음",IF(LEFT(R26,1)="⚠","모병원명 미등록",IF(S26="","파견병원 입력",IF(LEFT(S26,1)="⚠","파견병원명 미등록",IF(LEFT(U26,1)="⚠","파견과목 미등록",IF(OR(T26="",LEFT(T26,1)="⚠"),"파견근거 확인",IF(NOT(AND(ISNUMBER(H26),ISNUMBER(I26))),"날짜 형식/누락",IF(I26&lt;H26,"종료일&lt;시작일","")))))))))</f>
        <v/>
      </c>
      <c r="AB26" s="11">
        <f>IF(ISNUMBER(SEARCH("다기관",TRIM(N26&amp;" "&amp;O26))),IFERROR(DATE(VALUE(MID(TRIM(N26&amp;" "&amp;O26),1,4)),VALUE(MID(TRIM(N26&amp;" "&amp;O26),6,2)),VALUE(MID(TRIM(N26&amp;" "&amp;O26),9,2))),IF(ISNUMBER(H26),H26,"")),"")</f>
        <v/>
      </c>
      <c r="AC26" s="11">
        <f>IF(ISNUMBER(SEARCH("다기관",TRIM(N26&amp;" "&amp;O26))),IFERROR(DATE(VALUE(MID(TRIM(N26&amp;" "&amp;O26),12,4)),VALUE(MID(TRIM(N26&amp;" "&amp;O26),17,2)),VALUE(MID(TRIM(N26&amp;" "&amp;O26),20,2))),IF(ISNUMBER(I26),I26,"")),"")</f>
        <v/>
      </c>
      <c r="AD26" s="17">
        <f>IF(AND(ISNUMBER(AB26),ISNUMBER(AC26)),MAX(0,MIN(AC26,EOMONTH(요약!$B$3,0))-MAX(AB26,요약!$B$3)+1),0)</f>
        <v/>
      </c>
      <c r="AE26" s="10">
        <f>IF(AND(Q26&lt;&gt;"",ISNUMBER(AB26)),Q26&amp;"|다기관","")</f>
        <v/>
      </c>
    </row>
    <row r="27">
      <c r="A27" s="15">
        <f>IF(F27="","",ROW()-3)</f>
        <v/>
      </c>
      <c r="B27" s="5" t="n"/>
      <c r="C27" s="15" t="n"/>
      <c r="D27" s="5" t="n"/>
      <c r="E27" s="15" t="n"/>
      <c r="F27" s="5" t="n"/>
      <c r="G27" s="6" t="n"/>
      <c r="H27" s="16" t="n"/>
      <c r="I27" s="16" t="n"/>
      <c r="J27" s="15">
        <f>IF(AND(ISNUMBER(H27),ISNUMBER(I27)),I27-H27+1,"")</f>
        <v/>
      </c>
      <c r="K27" s="5" t="n"/>
      <c r="L27" s="5" t="n"/>
      <c r="M27" s="5" t="n"/>
      <c r="N27" s="5" t="n"/>
      <c r="O27" s="5" t="n"/>
      <c r="Q27" s="10">
        <f>IF(TRIM(G27&amp;"")="","",TRIM(G27&amp;""))</f>
        <v/>
      </c>
      <c r="R27" s="10">
        <f>IF(TRIM(B27&amp;"")="","",IFERROR(INDEX(코드표!$K$2:$K$101,MATCH(TRIM(B27&amp;""),코드표!$J$2:$J$101,0)),"⚠"&amp;TRIM(B27&amp;"")))</f>
        <v/>
      </c>
      <c r="S27" s="10">
        <f>IF(TRIM(K27&amp;"")="","",IFERROR(INDEX(코드표!$K$2:$K$101,MATCH(TRIM(K27&amp;""),코드표!$J$2:$J$101,0)),"⚠"&amp;TRIM(K27&amp;"")))</f>
        <v/>
      </c>
      <c r="T27" s="10">
        <f>IF(TRIM(M27&amp;"")="","",IF(ISNUMBER(MATCH(TRIM(M27&amp;""),코드표!$C$2:$C$11,0)),TRIM(M27&amp;""),"⚠"&amp;TRIM(M27&amp;"")))</f>
        <v/>
      </c>
      <c r="U27" s="10">
        <f>IF(TRIM(L27&amp;"")="","",IFERROR(INDEX(코드표!$G$2:$G$101,MATCH(TRIM(L27&amp;""),코드표!$F$2:$F$101,0)),"⚠"&amp;TRIM(L27&amp;"")))</f>
        <v/>
      </c>
      <c r="V27" s="10">
        <f>IF(AND(ISNUMBER(H27),ISNUMBER(I27)),I27-H27+1,"")</f>
        <v/>
      </c>
      <c r="W27" s="17">
        <f>IF(ISNUMBER(H27),MAX(0,MIN(IF(ISNUMBER(I27),I27,EOMONTH(요약!$B$3,0)),EOMONTH(요약!$B$3,0))-MAX(H27,요약!$B$3)+1),0)</f>
        <v/>
      </c>
      <c r="X27" s="10">
        <f>IF(OR(NOT(ISNUMBER(H27)),Q27=""),"",IF(TODAY()&lt;H27,"파견예정",IF(AND(ISNUMBER(I27),TODAY()&gt;I27),"파견종료","파견중")))</f>
        <v/>
      </c>
      <c r="Y27" s="10">
        <f>IF(OR(Q27="",X27=""),"",Q27&amp;"|"&amp;X27)</f>
        <v/>
      </c>
      <c r="Z27" s="10">
        <f>IF(AND(Q27&lt;&gt;"",W27&gt;0),Q27&amp;"|월","")</f>
        <v/>
      </c>
      <c r="AA27" s="10">
        <f>IF(COUNTA(B27:N27)=0,"",IF(Q27="","등록번호 없음",IF(LEFT(R27,1)="⚠","모병원명 미등록",IF(S27="","파견병원 입력",IF(LEFT(S27,1)="⚠","파견병원명 미등록",IF(LEFT(U27,1)="⚠","파견과목 미등록",IF(OR(T27="",LEFT(T27,1)="⚠"),"파견근거 확인",IF(NOT(AND(ISNUMBER(H27),ISNUMBER(I27))),"날짜 형식/누락",IF(I27&lt;H27,"종료일&lt;시작일","")))))))))</f>
        <v/>
      </c>
      <c r="AB27" s="11">
        <f>IF(ISNUMBER(SEARCH("다기관",TRIM(N27&amp;" "&amp;O27))),IFERROR(DATE(VALUE(MID(TRIM(N27&amp;" "&amp;O27),1,4)),VALUE(MID(TRIM(N27&amp;" "&amp;O27),6,2)),VALUE(MID(TRIM(N27&amp;" "&amp;O27),9,2))),IF(ISNUMBER(H27),H27,"")),"")</f>
        <v/>
      </c>
      <c r="AC27" s="11">
        <f>IF(ISNUMBER(SEARCH("다기관",TRIM(N27&amp;" "&amp;O27))),IFERROR(DATE(VALUE(MID(TRIM(N27&amp;" "&amp;O27),12,4)),VALUE(MID(TRIM(N27&amp;" "&amp;O27),17,2)),VALUE(MID(TRIM(N27&amp;" "&amp;O27),20,2))),IF(ISNUMBER(I27),I27,"")),"")</f>
        <v/>
      </c>
      <c r="AD27" s="17">
        <f>IF(AND(ISNUMBER(AB27),ISNUMBER(AC27)),MAX(0,MIN(AC27,EOMONTH(요약!$B$3,0))-MAX(AB27,요약!$B$3)+1),0)</f>
        <v/>
      </c>
      <c r="AE27" s="10">
        <f>IF(AND(Q27&lt;&gt;"",ISNUMBER(AB27)),Q27&amp;"|다기관","")</f>
        <v/>
      </c>
    </row>
    <row r="28">
      <c r="A28" s="15">
        <f>IF(F28="","",ROW()-3)</f>
        <v/>
      </c>
      <c r="B28" s="5" t="n"/>
      <c r="C28" s="15" t="n"/>
      <c r="D28" s="5" t="n"/>
      <c r="E28" s="15" t="n"/>
      <c r="F28" s="5" t="n"/>
      <c r="G28" s="6" t="n"/>
      <c r="H28" s="16" t="n"/>
      <c r="I28" s="16" t="n"/>
      <c r="J28" s="15">
        <f>IF(AND(ISNUMBER(H28),ISNUMBER(I28)),I28-H28+1,"")</f>
        <v/>
      </c>
      <c r="K28" s="5" t="n"/>
      <c r="L28" s="5" t="n"/>
      <c r="M28" s="5" t="n"/>
      <c r="N28" s="5" t="n"/>
      <c r="O28" s="5" t="n"/>
      <c r="Q28" s="10">
        <f>IF(TRIM(G28&amp;"")="","",TRIM(G28&amp;""))</f>
        <v/>
      </c>
      <c r="R28" s="10">
        <f>IF(TRIM(B28&amp;"")="","",IFERROR(INDEX(코드표!$K$2:$K$101,MATCH(TRIM(B28&amp;""),코드표!$J$2:$J$101,0)),"⚠"&amp;TRIM(B28&amp;"")))</f>
        <v/>
      </c>
      <c r="S28" s="10">
        <f>IF(TRIM(K28&amp;"")="","",IFERROR(INDEX(코드표!$K$2:$K$101,MATCH(TRIM(K28&amp;""),코드표!$J$2:$J$101,0)),"⚠"&amp;TRIM(K28&amp;"")))</f>
        <v/>
      </c>
      <c r="T28" s="10">
        <f>IF(TRIM(M28&amp;"")="","",IF(ISNUMBER(MATCH(TRIM(M28&amp;""),코드표!$C$2:$C$11,0)),TRIM(M28&amp;""),"⚠"&amp;TRIM(M28&amp;"")))</f>
        <v/>
      </c>
      <c r="U28" s="10">
        <f>IF(TRIM(L28&amp;"")="","",IFERROR(INDEX(코드표!$G$2:$G$101,MATCH(TRIM(L28&amp;""),코드표!$F$2:$F$101,0)),"⚠"&amp;TRIM(L28&amp;"")))</f>
        <v/>
      </c>
      <c r="V28" s="10">
        <f>IF(AND(ISNUMBER(H28),ISNUMBER(I28)),I28-H28+1,"")</f>
        <v/>
      </c>
      <c r="W28" s="17">
        <f>IF(ISNUMBER(H28),MAX(0,MIN(IF(ISNUMBER(I28),I28,EOMONTH(요약!$B$3,0)),EOMONTH(요약!$B$3,0))-MAX(H28,요약!$B$3)+1),0)</f>
        <v/>
      </c>
      <c r="X28" s="10">
        <f>IF(OR(NOT(ISNUMBER(H28)),Q28=""),"",IF(TODAY()&lt;H28,"파견예정",IF(AND(ISNUMBER(I28),TODAY()&gt;I28),"파견종료","파견중")))</f>
        <v/>
      </c>
      <c r="Y28" s="10">
        <f>IF(OR(Q28="",X28=""),"",Q28&amp;"|"&amp;X28)</f>
        <v/>
      </c>
      <c r="Z28" s="10">
        <f>IF(AND(Q28&lt;&gt;"",W28&gt;0),Q28&amp;"|월","")</f>
        <v/>
      </c>
      <c r="AA28" s="10">
        <f>IF(COUNTA(B28:N28)=0,"",IF(Q28="","등록번호 없음",IF(LEFT(R28,1)="⚠","모병원명 미등록",IF(S28="","파견병원 입력",IF(LEFT(S28,1)="⚠","파견병원명 미등록",IF(LEFT(U28,1)="⚠","파견과목 미등록",IF(OR(T28="",LEFT(T28,1)="⚠"),"파견근거 확인",IF(NOT(AND(ISNUMBER(H28),ISNUMBER(I28))),"날짜 형식/누락",IF(I28&lt;H28,"종료일&lt;시작일","")))))))))</f>
        <v/>
      </c>
      <c r="AB28" s="11">
        <f>IF(ISNUMBER(SEARCH("다기관",TRIM(N28&amp;" "&amp;O28))),IFERROR(DATE(VALUE(MID(TRIM(N28&amp;" "&amp;O28),1,4)),VALUE(MID(TRIM(N28&amp;" "&amp;O28),6,2)),VALUE(MID(TRIM(N28&amp;" "&amp;O28),9,2))),IF(ISNUMBER(H28),H28,"")),"")</f>
        <v/>
      </c>
      <c r="AC28" s="11">
        <f>IF(ISNUMBER(SEARCH("다기관",TRIM(N28&amp;" "&amp;O28))),IFERROR(DATE(VALUE(MID(TRIM(N28&amp;" "&amp;O28),12,4)),VALUE(MID(TRIM(N28&amp;" "&amp;O28),17,2)),VALUE(MID(TRIM(N28&amp;" "&amp;O28),20,2))),IF(ISNUMBER(I28),I28,"")),"")</f>
        <v/>
      </c>
      <c r="AD28" s="17">
        <f>IF(AND(ISNUMBER(AB28),ISNUMBER(AC28)),MAX(0,MIN(AC28,EOMONTH(요약!$B$3,0))-MAX(AB28,요약!$B$3)+1),0)</f>
        <v/>
      </c>
      <c r="AE28" s="10">
        <f>IF(AND(Q28&lt;&gt;"",ISNUMBER(AB28)),Q28&amp;"|다기관","")</f>
        <v/>
      </c>
    </row>
    <row r="29">
      <c r="A29" s="15">
        <f>IF(F29="","",ROW()-3)</f>
        <v/>
      </c>
      <c r="B29" s="5" t="n"/>
      <c r="C29" s="15" t="n"/>
      <c r="D29" s="5" t="n"/>
      <c r="E29" s="15" t="n"/>
      <c r="F29" s="5" t="n"/>
      <c r="G29" s="6" t="n"/>
      <c r="H29" s="16" t="n"/>
      <c r="I29" s="16" t="n"/>
      <c r="J29" s="15">
        <f>IF(AND(ISNUMBER(H29),ISNUMBER(I29)),I29-H29+1,"")</f>
        <v/>
      </c>
      <c r="K29" s="5" t="n"/>
      <c r="L29" s="5" t="n"/>
      <c r="M29" s="5" t="n"/>
      <c r="N29" s="5" t="n"/>
      <c r="O29" s="5" t="n"/>
      <c r="Q29" s="10">
        <f>IF(TRIM(G29&amp;"")="","",TRIM(G29&amp;""))</f>
        <v/>
      </c>
      <c r="R29" s="10">
        <f>IF(TRIM(B29&amp;"")="","",IFERROR(INDEX(코드표!$K$2:$K$101,MATCH(TRIM(B29&amp;""),코드표!$J$2:$J$101,0)),"⚠"&amp;TRIM(B29&amp;"")))</f>
        <v/>
      </c>
      <c r="S29" s="10">
        <f>IF(TRIM(K29&amp;"")="","",IFERROR(INDEX(코드표!$K$2:$K$101,MATCH(TRIM(K29&amp;""),코드표!$J$2:$J$101,0)),"⚠"&amp;TRIM(K29&amp;"")))</f>
        <v/>
      </c>
      <c r="T29" s="10">
        <f>IF(TRIM(M29&amp;"")="","",IF(ISNUMBER(MATCH(TRIM(M29&amp;""),코드표!$C$2:$C$11,0)),TRIM(M29&amp;""),"⚠"&amp;TRIM(M29&amp;"")))</f>
        <v/>
      </c>
      <c r="U29" s="10">
        <f>IF(TRIM(L29&amp;"")="","",IFERROR(INDEX(코드표!$G$2:$G$101,MATCH(TRIM(L29&amp;""),코드표!$F$2:$F$101,0)),"⚠"&amp;TRIM(L29&amp;"")))</f>
        <v/>
      </c>
      <c r="V29" s="10">
        <f>IF(AND(ISNUMBER(H29),ISNUMBER(I29)),I29-H29+1,"")</f>
        <v/>
      </c>
      <c r="W29" s="17">
        <f>IF(ISNUMBER(H29),MAX(0,MIN(IF(ISNUMBER(I29),I29,EOMONTH(요약!$B$3,0)),EOMONTH(요약!$B$3,0))-MAX(H29,요약!$B$3)+1),0)</f>
        <v/>
      </c>
      <c r="X29" s="10">
        <f>IF(OR(NOT(ISNUMBER(H29)),Q29=""),"",IF(TODAY()&lt;H29,"파견예정",IF(AND(ISNUMBER(I29),TODAY()&gt;I29),"파견종료","파견중")))</f>
        <v/>
      </c>
      <c r="Y29" s="10">
        <f>IF(OR(Q29="",X29=""),"",Q29&amp;"|"&amp;X29)</f>
        <v/>
      </c>
      <c r="Z29" s="10">
        <f>IF(AND(Q29&lt;&gt;"",W29&gt;0),Q29&amp;"|월","")</f>
        <v/>
      </c>
      <c r="AA29" s="10">
        <f>IF(COUNTA(B29:N29)=0,"",IF(Q29="","등록번호 없음",IF(LEFT(R29,1)="⚠","모병원명 미등록",IF(S29="","파견병원 입력",IF(LEFT(S29,1)="⚠","파견병원명 미등록",IF(LEFT(U29,1)="⚠","파견과목 미등록",IF(OR(T29="",LEFT(T29,1)="⚠"),"파견근거 확인",IF(NOT(AND(ISNUMBER(H29),ISNUMBER(I29))),"날짜 형식/누락",IF(I29&lt;H29,"종료일&lt;시작일","")))))))))</f>
        <v/>
      </c>
      <c r="AB29" s="11">
        <f>IF(ISNUMBER(SEARCH("다기관",TRIM(N29&amp;" "&amp;O29))),IFERROR(DATE(VALUE(MID(TRIM(N29&amp;" "&amp;O29),1,4)),VALUE(MID(TRIM(N29&amp;" "&amp;O29),6,2)),VALUE(MID(TRIM(N29&amp;" "&amp;O29),9,2))),IF(ISNUMBER(H29),H29,"")),"")</f>
        <v/>
      </c>
      <c r="AC29" s="11">
        <f>IF(ISNUMBER(SEARCH("다기관",TRIM(N29&amp;" "&amp;O29))),IFERROR(DATE(VALUE(MID(TRIM(N29&amp;" "&amp;O29),12,4)),VALUE(MID(TRIM(N29&amp;" "&amp;O29),17,2)),VALUE(MID(TRIM(N29&amp;" "&amp;O29),20,2))),IF(ISNUMBER(I29),I29,"")),"")</f>
        <v/>
      </c>
      <c r="AD29" s="17">
        <f>IF(AND(ISNUMBER(AB29),ISNUMBER(AC29)),MAX(0,MIN(AC29,EOMONTH(요약!$B$3,0))-MAX(AB29,요약!$B$3)+1),0)</f>
        <v/>
      </c>
      <c r="AE29" s="10">
        <f>IF(AND(Q29&lt;&gt;"",ISNUMBER(AB29)),Q29&amp;"|다기관","")</f>
        <v/>
      </c>
    </row>
    <row r="30">
      <c r="A30" s="15">
        <f>IF(F30="","",ROW()-3)</f>
        <v/>
      </c>
      <c r="B30" s="5" t="n"/>
      <c r="C30" s="15" t="n"/>
      <c r="D30" s="5" t="n"/>
      <c r="E30" s="15" t="n"/>
      <c r="F30" s="5" t="n"/>
      <c r="G30" s="6" t="n"/>
      <c r="H30" s="16" t="n"/>
      <c r="I30" s="16" t="n"/>
      <c r="J30" s="15">
        <f>IF(AND(ISNUMBER(H30),ISNUMBER(I30)),I30-H30+1,"")</f>
        <v/>
      </c>
      <c r="K30" s="5" t="n"/>
      <c r="L30" s="5" t="n"/>
      <c r="M30" s="5" t="n"/>
      <c r="N30" s="5" t="n"/>
      <c r="O30" s="5" t="n"/>
      <c r="Q30" s="10">
        <f>IF(TRIM(G30&amp;"")="","",TRIM(G30&amp;""))</f>
        <v/>
      </c>
      <c r="R30" s="10">
        <f>IF(TRIM(B30&amp;"")="","",IFERROR(INDEX(코드표!$K$2:$K$101,MATCH(TRIM(B30&amp;""),코드표!$J$2:$J$101,0)),"⚠"&amp;TRIM(B30&amp;"")))</f>
        <v/>
      </c>
      <c r="S30" s="10">
        <f>IF(TRIM(K30&amp;"")="","",IFERROR(INDEX(코드표!$K$2:$K$101,MATCH(TRIM(K30&amp;""),코드표!$J$2:$J$101,0)),"⚠"&amp;TRIM(K30&amp;"")))</f>
        <v/>
      </c>
      <c r="T30" s="10">
        <f>IF(TRIM(M30&amp;"")="","",IF(ISNUMBER(MATCH(TRIM(M30&amp;""),코드표!$C$2:$C$11,0)),TRIM(M30&amp;""),"⚠"&amp;TRIM(M30&amp;"")))</f>
        <v/>
      </c>
      <c r="U30" s="10">
        <f>IF(TRIM(L30&amp;"")="","",IFERROR(INDEX(코드표!$G$2:$G$101,MATCH(TRIM(L30&amp;""),코드표!$F$2:$F$101,0)),"⚠"&amp;TRIM(L30&amp;"")))</f>
        <v/>
      </c>
      <c r="V30" s="10">
        <f>IF(AND(ISNUMBER(H30),ISNUMBER(I30)),I30-H30+1,"")</f>
        <v/>
      </c>
      <c r="W30" s="17">
        <f>IF(ISNUMBER(H30),MAX(0,MIN(IF(ISNUMBER(I30),I30,EOMONTH(요약!$B$3,0)),EOMONTH(요약!$B$3,0))-MAX(H30,요약!$B$3)+1),0)</f>
        <v/>
      </c>
      <c r="X30" s="10">
        <f>IF(OR(NOT(ISNUMBER(H30)),Q30=""),"",IF(TODAY()&lt;H30,"파견예정",IF(AND(ISNUMBER(I30),TODAY()&gt;I30),"파견종료","파견중")))</f>
        <v/>
      </c>
      <c r="Y30" s="10">
        <f>IF(OR(Q30="",X30=""),"",Q30&amp;"|"&amp;X30)</f>
        <v/>
      </c>
      <c r="Z30" s="10">
        <f>IF(AND(Q30&lt;&gt;"",W30&gt;0),Q30&amp;"|월","")</f>
        <v/>
      </c>
      <c r="AA30" s="10">
        <f>IF(COUNTA(B30:N30)=0,"",IF(Q30="","등록번호 없음",IF(LEFT(R30,1)="⚠","모병원명 미등록",IF(S30="","파견병원 입력",IF(LEFT(S30,1)="⚠","파견병원명 미등록",IF(LEFT(U30,1)="⚠","파견과목 미등록",IF(OR(T30="",LEFT(T30,1)="⚠"),"파견근거 확인",IF(NOT(AND(ISNUMBER(H30),ISNUMBER(I30))),"날짜 형식/누락",IF(I30&lt;H30,"종료일&lt;시작일","")))))))))</f>
        <v/>
      </c>
      <c r="AB30" s="11">
        <f>IF(ISNUMBER(SEARCH("다기관",TRIM(N30&amp;" "&amp;O30))),IFERROR(DATE(VALUE(MID(TRIM(N30&amp;" "&amp;O30),1,4)),VALUE(MID(TRIM(N30&amp;" "&amp;O30),6,2)),VALUE(MID(TRIM(N30&amp;" "&amp;O30),9,2))),IF(ISNUMBER(H30),H30,"")),"")</f>
        <v/>
      </c>
      <c r="AC30" s="11">
        <f>IF(ISNUMBER(SEARCH("다기관",TRIM(N30&amp;" "&amp;O30))),IFERROR(DATE(VALUE(MID(TRIM(N30&amp;" "&amp;O30),12,4)),VALUE(MID(TRIM(N30&amp;" "&amp;O30),17,2)),VALUE(MID(TRIM(N30&amp;" "&amp;O30),20,2))),IF(ISNUMBER(I30),I30,"")),"")</f>
        <v/>
      </c>
      <c r="AD30" s="17">
        <f>IF(AND(ISNUMBER(AB30),ISNUMBER(AC30)),MAX(0,MIN(AC30,EOMONTH(요약!$B$3,0))-MAX(AB30,요약!$B$3)+1),0)</f>
        <v/>
      </c>
      <c r="AE30" s="10">
        <f>IF(AND(Q30&lt;&gt;"",ISNUMBER(AB30)),Q30&amp;"|다기관","")</f>
        <v/>
      </c>
    </row>
    <row r="31">
      <c r="A31" s="15">
        <f>IF(F31="","",ROW()-3)</f>
        <v/>
      </c>
      <c r="B31" s="5" t="n"/>
      <c r="C31" s="15" t="n"/>
      <c r="D31" s="5" t="n"/>
      <c r="E31" s="15" t="n"/>
      <c r="F31" s="5" t="n"/>
      <c r="G31" s="6" t="n"/>
      <c r="H31" s="16" t="n"/>
      <c r="I31" s="16" t="n"/>
      <c r="J31" s="15">
        <f>IF(AND(ISNUMBER(H31),ISNUMBER(I31)),I31-H31+1,"")</f>
        <v/>
      </c>
      <c r="K31" s="5" t="n"/>
      <c r="L31" s="5" t="n"/>
      <c r="M31" s="5" t="n"/>
      <c r="N31" s="5" t="n"/>
      <c r="O31" s="5" t="n"/>
      <c r="Q31" s="10">
        <f>IF(TRIM(G31&amp;"")="","",TRIM(G31&amp;""))</f>
        <v/>
      </c>
      <c r="R31" s="10">
        <f>IF(TRIM(B31&amp;"")="","",IFERROR(INDEX(코드표!$K$2:$K$101,MATCH(TRIM(B31&amp;""),코드표!$J$2:$J$101,0)),"⚠"&amp;TRIM(B31&amp;"")))</f>
        <v/>
      </c>
      <c r="S31" s="10">
        <f>IF(TRIM(K31&amp;"")="","",IFERROR(INDEX(코드표!$K$2:$K$101,MATCH(TRIM(K31&amp;""),코드표!$J$2:$J$101,0)),"⚠"&amp;TRIM(K31&amp;"")))</f>
        <v/>
      </c>
      <c r="T31" s="10">
        <f>IF(TRIM(M31&amp;"")="","",IF(ISNUMBER(MATCH(TRIM(M31&amp;""),코드표!$C$2:$C$11,0)),TRIM(M31&amp;""),"⚠"&amp;TRIM(M31&amp;"")))</f>
        <v/>
      </c>
      <c r="U31" s="10">
        <f>IF(TRIM(L31&amp;"")="","",IFERROR(INDEX(코드표!$G$2:$G$101,MATCH(TRIM(L31&amp;""),코드표!$F$2:$F$101,0)),"⚠"&amp;TRIM(L31&amp;"")))</f>
        <v/>
      </c>
      <c r="V31" s="10">
        <f>IF(AND(ISNUMBER(H31),ISNUMBER(I31)),I31-H31+1,"")</f>
        <v/>
      </c>
      <c r="W31" s="17">
        <f>IF(ISNUMBER(H31),MAX(0,MIN(IF(ISNUMBER(I31),I31,EOMONTH(요약!$B$3,0)),EOMONTH(요약!$B$3,0))-MAX(H31,요약!$B$3)+1),0)</f>
        <v/>
      </c>
      <c r="X31" s="10">
        <f>IF(OR(NOT(ISNUMBER(H31)),Q31=""),"",IF(TODAY()&lt;H31,"파견예정",IF(AND(ISNUMBER(I31),TODAY()&gt;I31),"파견종료","파견중")))</f>
        <v/>
      </c>
      <c r="Y31" s="10">
        <f>IF(OR(Q31="",X31=""),"",Q31&amp;"|"&amp;X31)</f>
        <v/>
      </c>
      <c r="Z31" s="10">
        <f>IF(AND(Q31&lt;&gt;"",W31&gt;0),Q31&amp;"|월","")</f>
        <v/>
      </c>
      <c r="AA31" s="10">
        <f>IF(COUNTA(B31:N31)=0,"",IF(Q31="","등록번호 없음",IF(LEFT(R31,1)="⚠","모병원명 미등록",IF(S31="","파견병원 입력",IF(LEFT(S31,1)="⚠","파견병원명 미등록",IF(LEFT(U31,1)="⚠","파견과목 미등록",IF(OR(T31="",LEFT(T31,1)="⚠"),"파견근거 확인",IF(NOT(AND(ISNUMBER(H31),ISNUMBER(I31))),"날짜 형식/누락",IF(I31&lt;H31,"종료일&lt;시작일","")))))))))</f>
        <v/>
      </c>
      <c r="AB31" s="11">
        <f>IF(ISNUMBER(SEARCH("다기관",TRIM(N31&amp;" "&amp;O31))),IFERROR(DATE(VALUE(MID(TRIM(N31&amp;" "&amp;O31),1,4)),VALUE(MID(TRIM(N31&amp;" "&amp;O31),6,2)),VALUE(MID(TRIM(N31&amp;" "&amp;O31),9,2))),IF(ISNUMBER(H31),H31,"")),"")</f>
        <v/>
      </c>
      <c r="AC31" s="11">
        <f>IF(ISNUMBER(SEARCH("다기관",TRIM(N31&amp;" "&amp;O31))),IFERROR(DATE(VALUE(MID(TRIM(N31&amp;" "&amp;O31),12,4)),VALUE(MID(TRIM(N31&amp;" "&amp;O31),17,2)),VALUE(MID(TRIM(N31&amp;" "&amp;O31),20,2))),IF(ISNUMBER(I31),I31,"")),"")</f>
        <v/>
      </c>
      <c r="AD31" s="17">
        <f>IF(AND(ISNUMBER(AB31),ISNUMBER(AC31)),MAX(0,MIN(AC31,EOMONTH(요약!$B$3,0))-MAX(AB31,요약!$B$3)+1),0)</f>
        <v/>
      </c>
      <c r="AE31" s="10">
        <f>IF(AND(Q31&lt;&gt;"",ISNUMBER(AB31)),Q31&amp;"|다기관","")</f>
        <v/>
      </c>
    </row>
    <row r="32">
      <c r="A32" s="15">
        <f>IF(F32="","",ROW()-3)</f>
        <v/>
      </c>
      <c r="B32" s="5" t="n"/>
      <c r="C32" s="15" t="n"/>
      <c r="D32" s="5" t="n"/>
      <c r="E32" s="15" t="n"/>
      <c r="F32" s="5" t="n"/>
      <c r="G32" s="6" t="n"/>
      <c r="H32" s="16" t="n"/>
      <c r="I32" s="16" t="n"/>
      <c r="J32" s="15">
        <f>IF(AND(ISNUMBER(H32),ISNUMBER(I32)),I32-H32+1,"")</f>
        <v/>
      </c>
      <c r="K32" s="5" t="n"/>
      <c r="L32" s="5" t="n"/>
      <c r="M32" s="5" t="n"/>
      <c r="N32" s="5" t="n"/>
      <c r="O32" s="5" t="n"/>
      <c r="Q32" s="10">
        <f>IF(TRIM(G32&amp;"")="","",TRIM(G32&amp;""))</f>
        <v/>
      </c>
      <c r="R32" s="10">
        <f>IF(TRIM(B32&amp;"")="","",IFERROR(INDEX(코드표!$K$2:$K$101,MATCH(TRIM(B32&amp;""),코드표!$J$2:$J$101,0)),"⚠"&amp;TRIM(B32&amp;"")))</f>
        <v/>
      </c>
      <c r="S32" s="10">
        <f>IF(TRIM(K32&amp;"")="","",IFERROR(INDEX(코드표!$K$2:$K$101,MATCH(TRIM(K32&amp;""),코드표!$J$2:$J$101,0)),"⚠"&amp;TRIM(K32&amp;"")))</f>
        <v/>
      </c>
      <c r="T32" s="10">
        <f>IF(TRIM(M32&amp;"")="","",IF(ISNUMBER(MATCH(TRIM(M32&amp;""),코드표!$C$2:$C$11,0)),TRIM(M32&amp;""),"⚠"&amp;TRIM(M32&amp;"")))</f>
        <v/>
      </c>
      <c r="U32" s="10">
        <f>IF(TRIM(L32&amp;"")="","",IFERROR(INDEX(코드표!$G$2:$G$101,MATCH(TRIM(L32&amp;""),코드표!$F$2:$F$101,0)),"⚠"&amp;TRIM(L32&amp;"")))</f>
        <v/>
      </c>
      <c r="V32" s="10">
        <f>IF(AND(ISNUMBER(H32),ISNUMBER(I32)),I32-H32+1,"")</f>
        <v/>
      </c>
      <c r="W32" s="17">
        <f>IF(ISNUMBER(H32),MAX(0,MIN(IF(ISNUMBER(I32),I32,EOMONTH(요약!$B$3,0)),EOMONTH(요약!$B$3,0))-MAX(H32,요약!$B$3)+1),0)</f>
        <v/>
      </c>
      <c r="X32" s="10">
        <f>IF(OR(NOT(ISNUMBER(H32)),Q32=""),"",IF(TODAY()&lt;H32,"파견예정",IF(AND(ISNUMBER(I32),TODAY()&gt;I32),"파견종료","파견중")))</f>
        <v/>
      </c>
      <c r="Y32" s="10">
        <f>IF(OR(Q32="",X32=""),"",Q32&amp;"|"&amp;X32)</f>
        <v/>
      </c>
      <c r="Z32" s="10">
        <f>IF(AND(Q32&lt;&gt;"",W32&gt;0),Q32&amp;"|월","")</f>
        <v/>
      </c>
      <c r="AA32" s="10">
        <f>IF(COUNTA(B32:N32)=0,"",IF(Q32="","등록번호 없음",IF(LEFT(R32,1)="⚠","모병원명 미등록",IF(S32="","파견병원 입력",IF(LEFT(S32,1)="⚠","파견병원명 미등록",IF(LEFT(U32,1)="⚠","파견과목 미등록",IF(OR(T32="",LEFT(T32,1)="⚠"),"파견근거 확인",IF(NOT(AND(ISNUMBER(H32),ISNUMBER(I32))),"날짜 형식/누락",IF(I32&lt;H32,"종료일&lt;시작일","")))))))))</f>
        <v/>
      </c>
      <c r="AB32" s="11">
        <f>IF(ISNUMBER(SEARCH("다기관",TRIM(N32&amp;" "&amp;O32))),IFERROR(DATE(VALUE(MID(TRIM(N32&amp;" "&amp;O32),1,4)),VALUE(MID(TRIM(N32&amp;" "&amp;O32),6,2)),VALUE(MID(TRIM(N32&amp;" "&amp;O32),9,2))),IF(ISNUMBER(H32),H32,"")),"")</f>
        <v/>
      </c>
      <c r="AC32" s="11">
        <f>IF(ISNUMBER(SEARCH("다기관",TRIM(N32&amp;" "&amp;O32))),IFERROR(DATE(VALUE(MID(TRIM(N32&amp;" "&amp;O32),12,4)),VALUE(MID(TRIM(N32&amp;" "&amp;O32),17,2)),VALUE(MID(TRIM(N32&amp;" "&amp;O32),20,2))),IF(ISNUMBER(I32),I32,"")),"")</f>
        <v/>
      </c>
      <c r="AD32" s="17">
        <f>IF(AND(ISNUMBER(AB32),ISNUMBER(AC32)),MAX(0,MIN(AC32,EOMONTH(요약!$B$3,0))-MAX(AB32,요약!$B$3)+1),0)</f>
        <v/>
      </c>
      <c r="AE32" s="10">
        <f>IF(AND(Q32&lt;&gt;"",ISNUMBER(AB32)),Q32&amp;"|다기관","")</f>
        <v/>
      </c>
    </row>
    <row r="33">
      <c r="A33" s="15">
        <f>IF(F33="","",ROW()-3)</f>
        <v/>
      </c>
      <c r="B33" s="5" t="n"/>
      <c r="C33" s="15" t="n"/>
      <c r="D33" s="5" t="n"/>
      <c r="E33" s="15" t="n"/>
      <c r="F33" s="5" t="n"/>
      <c r="G33" s="6" t="n"/>
      <c r="H33" s="16" t="n"/>
      <c r="I33" s="16" t="n"/>
      <c r="J33" s="15">
        <f>IF(AND(ISNUMBER(H33),ISNUMBER(I33)),I33-H33+1,"")</f>
        <v/>
      </c>
      <c r="K33" s="5" t="n"/>
      <c r="L33" s="5" t="n"/>
      <c r="M33" s="5" t="n"/>
      <c r="N33" s="5" t="n"/>
      <c r="O33" s="5" t="n"/>
      <c r="Q33" s="10">
        <f>IF(TRIM(G33&amp;"")="","",TRIM(G33&amp;""))</f>
        <v/>
      </c>
      <c r="R33" s="10">
        <f>IF(TRIM(B33&amp;"")="","",IFERROR(INDEX(코드표!$K$2:$K$101,MATCH(TRIM(B33&amp;""),코드표!$J$2:$J$101,0)),"⚠"&amp;TRIM(B33&amp;"")))</f>
        <v/>
      </c>
      <c r="S33" s="10">
        <f>IF(TRIM(K33&amp;"")="","",IFERROR(INDEX(코드표!$K$2:$K$101,MATCH(TRIM(K33&amp;""),코드표!$J$2:$J$101,0)),"⚠"&amp;TRIM(K33&amp;"")))</f>
        <v/>
      </c>
      <c r="T33" s="10">
        <f>IF(TRIM(M33&amp;"")="","",IF(ISNUMBER(MATCH(TRIM(M33&amp;""),코드표!$C$2:$C$11,0)),TRIM(M33&amp;""),"⚠"&amp;TRIM(M33&amp;"")))</f>
        <v/>
      </c>
      <c r="U33" s="10">
        <f>IF(TRIM(L33&amp;"")="","",IFERROR(INDEX(코드표!$G$2:$G$101,MATCH(TRIM(L33&amp;""),코드표!$F$2:$F$101,0)),"⚠"&amp;TRIM(L33&amp;"")))</f>
        <v/>
      </c>
      <c r="V33" s="10">
        <f>IF(AND(ISNUMBER(H33),ISNUMBER(I33)),I33-H33+1,"")</f>
        <v/>
      </c>
      <c r="W33" s="17">
        <f>IF(ISNUMBER(H33),MAX(0,MIN(IF(ISNUMBER(I33),I33,EOMONTH(요약!$B$3,0)),EOMONTH(요약!$B$3,0))-MAX(H33,요약!$B$3)+1),0)</f>
        <v/>
      </c>
      <c r="X33" s="10">
        <f>IF(OR(NOT(ISNUMBER(H33)),Q33=""),"",IF(TODAY()&lt;H33,"파견예정",IF(AND(ISNUMBER(I33),TODAY()&gt;I33),"파견종료","파견중")))</f>
        <v/>
      </c>
      <c r="Y33" s="10">
        <f>IF(OR(Q33="",X33=""),"",Q33&amp;"|"&amp;X33)</f>
        <v/>
      </c>
      <c r="Z33" s="10">
        <f>IF(AND(Q33&lt;&gt;"",W33&gt;0),Q33&amp;"|월","")</f>
        <v/>
      </c>
      <c r="AA33" s="10">
        <f>IF(COUNTA(B33:N33)=0,"",IF(Q33="","등록번호 없음",IF(LEFT(R33,1)="⚠","모병원명 미등록",IF(S33="","파견병원 입력",IF(LEFT(S33,1)="⚠","파견병원명 미등록",IF(LEFT(U33,1)="⚠","파견과목 미등록",IF(OR(T33="",LEFT(T33,1)="⚠"),"파견근거 확인",IF(NOT(AND(ISNUMBER(H33),ISNUMBER(I33))),"날짜 형식/누락",IF(I33&lt;H33,"종료일&lt;시작일","")))))))))</f>
        <v/>
      </c>
      <c r="AB33" s="11">
        <f>IF(ISNUMBER(SEARCH("다기관",TRIM(N33&amp;" "&amp;O33))),IFERROR(DATE(VALUE(MID(TRIM(N33&amp;" "&amp;O33),1,4)),VALUE(MID(TRIM(N33&amp;" "&amp;O33),6,2)),VALUE(MID(TRIM(N33&amp;" "&amp;O33),9,2))),IF(ISNUMBER(H33),H33,"")),"")</f>
        <v/>
      </c>
      <c r="AC33" s="11">
        <f>IF(ISNUMBER(SEARCH("다기관",TRIM(N33&amp;" "&amp;O33))),IFERROR(DATE(VALUE(MID(TRIM(N33&amp;" "&amp;O33),12,4)),VALUE(MID(TRIM(N33&amp;" "&amp;O33),17,2)),VALUE(MID(TRIM(N33&amp;" "&amp;O33),20,2))),IF(ISNUMBER(I33),I33,"")),"")</f>
        <v/>
      </c>
      <c r="AD33" s="17">
        <f>IF(AND(ISNUMBER(AB33),ISNUMBER(AC33)),MAX(0,MIN(AC33,EOMONTH(요약!$B$3,0))-MAX(AB33,요약!$B$3)+1),0)</f>
        <v/>
      </c>
      <c r="AE33" s="10">
        <f>IF(AND(Q33&lt;&gt;"",ISNUMBER(AB33)),Q33&amp;"|다기관","")</f>
        <v/>
      </c>
    </row>
    <row r="34">
      <c r="A34" s="15">
        <f>IF(F34="","",ROW()-3)</f>
        <v/>
      </c>
      <c r="B34" s="5" t="n"/>
      <c r="C34" s="15" t="n"/>
      <c r="D34" s="5" t="n"/>
      <c r="E34" s="15" t="n"/>
      <c r="F34" s="5" t="n"/>
      <c r="G34" s="6" t="n"/>
      <c r="H34" s="16" t="n"/>
      <c r="I34" s="16" t="n"/>
      <c r="J34" s="15">
        <f>IF(AND(ISNUMBER(H34),ISNUMBER(I34)),I34-H34+1,"")</f>
        <v/>
      </c>
      <c r="K34" s="5" t="n"/>
      <c r="L34" s="5" t="n"/>
      <c r="M34" s="5" t="n"/>
      <c r="N34" s="5" t="n"/>
      <c r="O34" s="5" t="n"/>
      <c r="Q34" s="10">
        <f>IF(TRIM(G34&amp;"")="","",TRIM(G34&amp;""))</f>
        <v/>
      </c>
      <c r="R34" s="10">
        <f>IF(TRIM(B34&amp;"")="","",IFERROR(INDEX(코드표!$K$2:$K$101,MATCH(TRIM(B34&amp;""),코드표!$J$2:$J$101,0)),"⚠"&amp;TRIM(B34&amp;"")))</f>
        <v/>
      </c>
      <c r="S34" s="10">
        <f>IF(TRIM(K34&amp;"")="","",IFERROR(INDEX(코드표!$K$2:$K$101,MATCH(TRIM(K34&amp;""),코드표!$J$2:$J$101,0)),"⚠"&amp;TRIM(K34&amp;"")))</f>
        <v/>
      </c>
      <c r="T34" s="10">
        <f>IF(TRIM(M34&amp;"")="","",IF(ISNUMBER(MATCH(TRIM(M34&amp;""),코드표!$C$2:$C$11,0)),TRIM(M34&amp;""),"⚠"&amp;TRIM(M34&amp;"")))</f>
        <v/>
      </c>
      <c r="U34" s="10">
        <f>IF(TRIM(L34&amp;"")="","",IFERROR(INDEX(코드표!$G$2:$G$101,MATCH(TRIM(L34&amp;""),코드표!$F$2:$F$101,0)),"⚠"&amp;TRIM(L34&amp;"")))</f>
        <v/>
      </c>
      <c r="V34" s="10">
        <f>IF(AND(ISNUMBER(H34),ISNUMBER(I34)),I34-H34+1,"")</f>
        <v/>
      </c>
      <c r="W34" s="17">
        <f>IF(ISNUMBER(H34),MAX(0,MIN(IF(ISNUMBER(I34),I34,EOMONTH(요약!$B$3,0)),EOMONTH(요약!$B$3,0))-MAX(H34,요약!$B$3)+1),0)</f>
        <v/>
      </c>
      <c r="X34" s="10">
        <f>IF(OR(NOT(ISNUMBER(H34)),Q34=""),"",IF(TODAY()&lt;H34,"파견예정",IF(AND(ISNUMBER(I34),TODAY()&gt;I34),"파견종료","파견중")))</f>
        <v/>
      </c>
      <c r="Y34" s="10">
        <f>IF(OR(Q34="",X34=""),"",Q34&amp;"|"&amp;X34)</f>
        <v/>
      </c>
      <c r="Z34" s="10">
        <f>IF(AND(Q34&lt;&gt;"",W34&gt;0),Q34&amp;"|월","")</f>
        <v/>
      </c>
      <c r="AA34" s="10">
        <f>IF(COUNTA(B34:N34)=0,"",IF(Q34="","등록번호 없음",IF(LEFT(R34,1)="⚠","모병원명 미등록",IF(S34="","파견병원 입력",IF(LEFT(S34,1)="⚠","파견병원명 미등록",IF(LEFT(U34,1)="⚠","파견과목 미등록",IF(OR(T34="",LEFT(T34,1)="⚠"),"파견근거 확인",IF(NOT(AND(ISNUMBER(H34),ISNUMBER(I34))),"날짜 형식/누락",IF(I34&lt;H34,"종료일&lt;시작일","")))))))))</f>
        <v/>
      </c>
      <c r="AB34" s="11">
        <f>IF(ISNUMBER(SEARCH("다기관",TRIM(N34&amp;" "&amp;O34))),IFERROR(DATE(VALUE(MID(TRIM(N34&amp;" "&amp;O34),1,4)),VALUE(MID(TRIM(N34&amp;" "&amp;O34),6,2)),VALUE(MID(TRIM(N34&amp;" "&amp;O34),9,2))),IF(ISNUMBER(H34),H34,"")),"")</f>
        <v/>
      </c>
      <c r="AC34" s="11">
        <f>IF(ISNUMBER(SEARCH("다기관",TRIM(N34&amp;" "&amp;O34))),IFERROR(DATE(VALUE(MID(TRIM(N34&amp;" "&amp;O34),12,4)),VALUE(MID(TRIM(N34&amp;" "&amp;O34),17,2)),VALUE(MID(TRIM(N34&amp;" "&amp;O34),20,2))),IF(ISNUMBER(I34),I34,"")),"")</f>
        <v/>
      </c>
      <c r="AD34" s="17">
        <f>IF(AND(ISNUMBER(AB34),ISNUMBER(AC34)),MAX(0,MIN(AC34,EOMONTH(요약!$B$3,0))-MAX(AB34,요약!$B$3)+1),0)</f>
        <v/>
      </c>
      <c r="AE34" s="10">
        <f>IF(AND(Q34&lt;&gt;"",ISNUMBER(AB34)),Q34&amp;"|다기관","")</f>
        <v/>
      </c>
    </row>
    <row r="35">
      <c r="A35" s="15">
        <f>IF(F35="","",ROW()-3)</f>
        <v/>
      </c>
      <c r="B35" s="5" t="n"/>
      <c r="C35" s="15" t="n"/>
      <c r="D35" s="5" t="n"/>
      <c r="E35" s="15" t="n"/>
      <c r="F35" s="5" t="n"/>
      <c r="G35" s="6" t="n"/>
      <c r="H35" s="16" t="n"/>
      <c r="I35" s="16" t="n"/>
      <c r="J35" s="15">
        <f>IF(AND(ISNUMBER(H35),ISNUMBER(I35)),I35-H35+1,"")</f>
        <v/>
      </c>
      <c r="K35" s="5" t="n"/>
      <c r="L35" s="5" t="n"/>
      <c r="M35" s="5" t="n"/>
      <c r="N35" s="5" t="n"/>
      <c r="O35" s="5" t="n"/>
      <c r="Q35" s="10">
        <f>IF(TRIM(G35&amp;"")="","",TRIM(G35&amp;""))</f>
        <v/>
      </c>
      <c r="R35" s="10">
        <f>IF(TRIM(B35&amp;"")="","",IFERROR(INDEX(코드표!$K$2:$K$101,MATCH(TRIM(B35&amp;""),코드표!$J$2:$J$101,0)),"⚠"&amp;TRIM(B35&amp;"")))</f>
        <v/>
      </c>
      <c r="S35" s="10">
        <f>IF(TRIM(K35&amp;"")="","",IFERROR(INDEX(코드표!$K$2:$K$101,MATCH(TRIM(K35&amp;""),코드표!$J$2:$J$101,0)),"⚠"&amp;TRIM(K35&amp;"")))</f>
        <v/>
      </c>
      <c r="T35" s="10">
        <f>IF(TRIM(M35&amp;"")="","",IF(ISNUMBER(MATCH(TRIM(M35&amp;""),코드표!$C$2:$C$11,0)),TRIM(M35&amp;""),"⚠"&amp;TRIM(M35&amp;"")))</f>
        <v/>
      </c>
      <c r="U35" s="10">
        <f>IF(TRIM(L35&amp;"")="","",IFERROR(INDEX(코드표!$G$2:$G$101,MATCH(TRIM(L35&amp;""),코드표!$F$2:$F$101,0)),"⚠"&amp;TRIM(L35&amp;"")))</f>
        <v/>
      </c>
      <c r="V35" s="10">
        <f>IF(AND(ISNUMBER(H35),ISNUMBER(I35)),I35-H35+1,"")</f>
        <v/>
      </c>
      <c r="W35" s="17">
        <f>IF(ISNUMBER(H35),MAX(0,MIN(IF(ISNUMBER(I35),I35,EOMONTH(요약!$B$3,0)),EOMONTH(요약!$B$3,0))-MAX(H35,요약!$B$3)+1),0)</f>
        <v/>
      </c>
      <c r="X35" s="10">
        <f>IF(OR(NOT(ISNUMBER(H35)),Q35=""),"",IF(TODAY()&lt;H35,"파견예정",IF(AND(ISNUMBER(I35),TODAY()&gt;I35),"파견종료","파견중")))</f>
        <v/>
      </c>
      <c r="Y35" s="10">
        <f>IF(OR(Q35="",X35=""),"",Q35&amp;"|"&amp;X35)</f>
        <v/>
      </c>
      <c r="Z35" s="10">
        <f>IF(AND(Q35&lt;&gt;"",W35&gt;0),Q35&amp;"|월","")</f>
        <v/>
      </c>
      <c r="AA35" s="10">
        <f>IF(COUNTA(B35:N35)=0,"",IF(Q35="","등록번호 없음",IF(LEFT(R35,1)="⚠","모병원명 미등록",IF(S35="","파견병원 입력",IF(LEFT(S35,1)="⚠","파견병원명 미등록",IF(LEFT(U35,1)="⚠","파견과목 미등록",IF(OR(T35="",LEFT(T35,1)="⚠"),"파견근거 확인",IF(NOT(AND(ISNUMBER(H35),ISNUMBER(I35))),"날짜 형식/누락",IF(I35&lt;H35,"종료일&lt;시작일","")))))))))</f>
        <v/>
      </c>
      <c r="AB35" s="11">
        <f>IF(ISNUMBER(SEARCH("다기관",TRIM(N35&amp;" "&amp;O35))),IFERROR(DATE(VALUE(MID(TRIM(N35&amp;" "&amp;O35),1,4)),VALUE(MID(TRIM(N35&amp;" "&amp;O35),6,2)),VALUE(MID(TRIM(N35&amp;" "&amp;O35),9,2))),IF(ISNUMBER(H35),H35,"")),"")</f>
        <v/>
      </c>
      <c r="AC35" s="11">
        <f>IF(ISNUMBER(SEARCH("다기관",TRIM(N35&amp;" "&amp;O35))),IFERROR(DATE(VALUE(MID(TRIM(N35&amp;" "&amp;O35),12,4)),VALUE(MID(TRIM(N35&amp;" "&amp;O35),17,2)),VALUE(MID(TRIM(N35&amp;" "&amp;O35),20,2))),IF(ISNUMBER(I35),I35,"")),"")</f>
        <v/>
      </c>
      <c r="AD35" s="17">
        <f>IF(AND(ISNUMBER(AB35),ISNUMBER(AC35)),MAX(0,MIN(AC35,EOMONTH(요약!$B$3,0))-MAX(AB35,요약!$B$3)+1),0)</f>
        <v/>
      </c>
      <c r="AE35" s="10">
        <f>IF(AND(Q35&lt;&gt;"",ISNUMBER(AB35)),Q35&amp;"|다기관","")</f>
        <v/>
      </c>
    </row>
    <row r="36">
      <c r="A36" s="15">
        <f>IF(F36="","",ROW()-3)</f>
        <v/>
      </c>
      <c r="B36" s="5" t="n"/>
      <c r="C36" s="15" t="n"/>
      <c r="D36" s="5" t="n"/>
      <c r="E36" s="15" t="n"/>
      <c r="F36" s="5" t="n"/>
      <c r="G36" s="6" t="n"/>
      <c r="H36" s="16" t="n"/>
      <c r="I36" s="16" t="n"/>
      <c r="J36" s="15">
        <f>IF(AND(ISNUMBER(H36),ISNUMBER(I36)),I36-H36+1,"")</f>
        <v/>
      </c>
      <c r="K36" s="5" t="n"/>
      <c r="L36" s="5" t="n"/>
      <c r="M36" s="5" t="n"/>
      <c r="N36" s="5" t="n"/>
      <c r="O36" s="5" t="n"/>
      <c r="Q36" s="10">
        <f>IF(TRIM(G36&amp;"")="","",TRIM(G36&amp;""))</f>
        <v/>
      </c>
      <c r="R36" s="10">
        <f>IF(TRIM(B36&amp;"")="","",IFERROR(INDEX(코드표!$K$2:$K$101,MATCH(TRIM(B36&amp;""),코드표!$J$2:$J$101,0)),"⚠"&amp;TRIM(B36&amp;"")))</f>
        <v/>
      </c>
      <c r="S36" s="10">
        <f>IF(TRIM(K36&amp;"")="","",IFERROR(INDEX(코드표!$K$2:$K$101,MATCH(TRIM(K36&amp;""),코드표!$J$2:$J$101,0)),"⚠"&amp;TRIM(K36&amp;"")))</f>
        <v/>
      </c>
      <c r="T36" s="10">
        <f>IF(TRIM(M36&amp;"")="","",IF(ISNUMBER(MATCH(TRIM(M36&amp;""),코드표!$C$2:$C$11,0)),TRIM(M36&amp;""),"⚠"&amp;TRIM(M36&amp;"")))</f>
        <v/>
      </c>
      <c r="U36" s="10">
        <f>IF(TRIM(L36&amp;"")="","",IFERROR(INDEX(코드표!$G$2:$G$101,MATCH(TRIM(L36&amp;""),코드표!$F$2:$F$101,0)),"⚠"&amp;TRIM(L36&amp;"")))</f>
        <v/>
      </c>
      <c r="V36" s="10">
        <f>IF(AND(ISNUMBER(H36),ISNUMBER(I36)),I36-H36+1,"")</f>
        <v/>
      </c>
      <c r="W36" s="17">
        <f>IF(ISNUMBER(H36),MAX(0,MIN(IF(ISNUMBER(I36),I36,EOMONTH(요약!$B$3,0)),EOMONTH(요약!$B$3,0))-MAX(H36,요약!$B$3)+1),0)</f>
        <v/>
      </c>
      <c r="X36" s="10">
        <f>IF(OR(NOT(ISNUMBER(H36)),Q36=""),"",IF(TODAY()&lt;H36,"파견예정",IF(AND(ISNUMBER(I36),TODAY()&gt;I36),"파견종료","파견중")))</f>
        <v/>
      </c>
      <c r="Y36" s="10">
        <f>IF(OR(Q36="",X36=""),"",Q36&amp;"|"&amp;X36)</f>
        <v/>
      </c>
      <c r="Z36" s="10">
        <f>IF(AND(Q36&lt;&gt;"",W36&gt;0),Q36&amp;"|월","")</f>
        <v/>
      </c>
      <c r="AA36" s="10">
        <f>IF(COUNTA(B36:N36)=0,"",IF(Q36="","등록번호 없음",IF(LEFT(R36,1)="⚠","모병원명 미등록",IF(S36="","파견병원 입력",IF(LEFT(S36,1)="⚠","파견병원명 미등록",IF(LEFT(U36,1)="⚠","파견과목 미등록",IF(OR(T36="",LEFT(T36,1)="⚠"),"파견근거 확인",IF(NOT(AND(ISNUMBER(H36),ISNUMBER(I36))),"날짜 형식/누락",IF(I36&lt;H36,"종료일&lt;시작일","")))))))))</f>
        <v/>
      </c>
      <c r="AB36" s="11">
        <f>IF(ISNUMBER(SEARCH("다기관",TRIM(N36&amp;" "&amp;O36))),IFERROR(DATE(VALUE(MID(TRIM(N36&amp;" "&amp;O36),1,4)),VALUE(MID(TRIM(N36&amp;" "&amp;O36),6,2)),VALUE(MID(TRIM(N36&amp;" "&amp;O36),9,2))),IF(ISNUMBER(H36),H36,"")),"")</f>
        <v/>
      </c>
      <c r="AC36" s="11">
        <f>IF(ISNUMBER(SEARCH("다기관",TRIM(N36&amp;" "&amp;O36))),IFERROR(DATE(VALUE(MID(TRIM(N36&amp;" "&amp;O36),12,4)),VALUE(MID(TRIM(N36&amp;" "&amp;O36),17,2)),VALUE(MID(TRIM(N36&amp;" "&amp;O36),20,2))),IF(ISNUMBER(I36),I36,"")),"")</f>
        <v/>
      </c>
      <c r="AD36" s="17">
        <f>IF(AND(ISNUMBER(AB36),ISNUMBER(AC36)),MAX(0,MIN(AC36,EOMONTH(요약!$B$3,0))-MAX(AB36,요약!$B$3)+1),0)</f>
        <v/>
      </c>
      <c r="AE36" s="10">
        <f>IF(AND(Q36&lt;&gt;"",ISNUMBER(AB36)),Q36&amp;"|다기관","")</f>
        <v/>
      </c>
    </row>
    <row r="37">
      <c r="A37" s="15">
        <f>IF(F37="","",ROW()-3)</f>
        <v/>
      </c>
      <c r="B37" s="5" t="n"/>
      <c r="C37" s="15" t="n"/>
      <c r="D37" s="5" t="n"/>
      <c r="E37" s="15" t="n"/>
      <c r="F37" s="5" t="n"/>
      <c r="G37" s="6" t="n"/>
      <c r="H37" s="16" t="n"/>
      <c r="I37" s="16" t="n"/>
      <c r="J37" s="15">
        <f>IF(AND(ISNUMBER(H37),ISNUMBER(I37)),I37-H37+1,"")</f>
        <v/>
      </c>
      <c r="K37" s="5" t="n"/>
      <c r="L37" s="5" t="n"/>
      <c r="M37" s="5" t="n"/>
      <c r="N37" s="5" t="n"/>
      <c r="O37" s="5" t="n"/>
      <c r="Q37" s="10">
        <f>IF(TRIM(G37&amp;"")="","",TRIM(G37&amp;""))</f>
        <v/>
      </c>
      <c r="R37" s="10">
        <f>IF(TRIM(B37&amp;"")="","",IFERROR(INDEX(코드표!$K$2:$K$101,MATCH(TRIM(B37&amp;""),코드표!$J$2:$J$101,0)),"⚠"&amp;TRIM(B37&amp;"")))</f>
        <v/>
      </c>
      <c r="S37" s="10">
        <f>IF(TRIM(K37&amp;"")="","",IFERROR(INDEX(코드표!$K$2:$K$101,MATCH(TRIM(K37&amp;""),코드표!$J$2:$J$101,0)),"⚠"&amp;TRIM(K37&amp;"")))</f>
        <v/>
      </c>
      <c r="T37" s="10">
        <f>IF(TRIM(M37&amp;"")="","",IF(ISNUMBER(MATCH(TRIM(M37&amp;""),코드표!$C$2:$C$11,0)),TRIM(M37&amp;""),"⚠"&amp;TRIM(M37&amp;"")))</f>
        <v/>
      </c>
      <c r="U37" s="10">
        <f>IF(TRIM(L37&amp;"")="","",IFERROR(INDEX(코드표!$G$2:$G$101,MATCH(TRIM(L37&amp;""),코드표!$F$2:$F$101,0)),"⚠"&amp;TRIM(L37&amp;"")))</f>
        <v/>
      </c>
      <c r="V37" s="10">
        <f>IF(AND(ISNUMBER(H37),ISNUMBER(I37)),I37-H37+1,"")</f>
        <v/>
      </c>
      <c r="W37" s="17">
        <f>IF(ISNUMBER(H37),MAX(0,MIN(IF(ISNUMBER(I37),I37,EOMONTH(요약!$B$3,0)),EOMONTH(요약!$B$3,0))-MAX(H37,요약!$B$3)+1),0)</f>
        <v/>
      </c>
      <c r="X37" s="10">
        <f>IF(OR(NOT(ISNUMBER(H37)),Q37=""),"",IF(TODAY()&lt;H37,"파견예정",IF(AND(ISNUMBER(I37),TODAY()&gt;I37),"파견종료","파견중")))</f>
        <v/>
      </c>
      <c r="Y37" s="10">
        <f>IF(OR(Q37="",X37=""),"",Q37&amp;"|"&amp;X37)</f>
        <v/>
      </c>
      <c r="Z37" s="10">
        <f>IF(AND(Q37&lt;&gt;"",W37&gt;0),Q37&amp;"|월","")</f>
        <v/>
      </c>
      <c r="AA37" s="10">
        <f>IF(COUNTA(B37:N37)=0,"",IF(Q37="","등록번호 없음",IF(LEFT(R37,1)="⚠","모병원명 미등록",IF(S37="","파견병원 입력",IF(LEFT(S37,1)="⚠","파견병원명 미등록",IF(LEFT(U37,1)="⚠","파견과목 미등록",IF(OR(T37="",LEFT(T37,1)="⚠"),"파견근거 확인",IF(NOT(AND(ISNUMBER(H37),ISNUMBER(I37))),"날짜 형식/누락",IF(I37&lt;H37,"종료일&lt;시작일","")))))))))</f>
        <v/>
      </c>
      <c r="AB37" s="11">
        <f>IF(ISNUMBER(SEARCH("다기관",TRIM(N37&amp;" "&amp;O37))),IFERROR(DATE(VALUE(MID(TRIM(N37&amp;" "&amp;O37),1,4)),VALUE(MID(TRIM(N37&amp;" "&amp;O37),6,2)),VALUE(MID(TRIM(N37&amp;" "&amp;O37),9,2))),IF(ISNUMBER(H37),H37,"")),"")</f>
        <v/>
      </c>
      <c r="AC37" s="11">
        <f>IF(ISNUMBER(SEARCH("다기관",TRIM(N37&amp;" "&amp;O37))),IFERROR(DATE(VALUE(MID(TRIM(N37&amp;" "&amp;O37),12,4)),VALUE(MID(TRIM(N37&amp;" "&amp;O37),17,2)),VALUE(MID(TRIM(N37&amp;" "&amp;O37),20,2))),IF(ISNUMBER(I37),I37,"")),"")</f>
        <v/>
      </c>
      <c r="AD37" s="17">
        <f>IF(AND(ISNUMBER(AB37),ISNUMBER(AC37)),MAX(0,MIN(AC37,EOMONTH(요약!$B$3,0))-MAX(AB37,요약!$B$3)+1),0)</f>
        <v/>
      </c>
      <c r="AE37" s="10">
        <f>IF(AND(Q37&lt;&gt;"",ISNUMBER(AB37)),Q37&amp;"|다기관","")</f>
        <v/>
      </c>
    </row>
    <row r="38">
      <c r="A38" s="15">
        <f>IF(F38="","",ROW()-3)</f>
        <v/>
      </c>
      <c r="B38" s="5" t="n"/>
      <c r="C38" s="15" t="n"/>
      <c r="D38" s="5" t="n"/>
      <c r="E38" s="15" t="n"/>
      <c r="F38" s="5" t="n"/>
      <c r="G38" s="6" t="n"/>
      <c r="H38" s="16" t="n"/>
      <c r="I38" s="16" t="n"/>
      <c r="J38" s="15">
        <f>IF(AND(ISNUMBER(H38),ISNUMBER(I38)),I38-H38+1,"")</f>
        <v/>
      </c>
      <c r="K38" s="5" t="n"/>
      <c r="L38" s="5" t="n"/>
      <c r="M38" s="5" t="n"/>
      <c r="N38" s="5" t="n"/>
      <c r="O38" s="5" t="n"/>
      <c r="Q38" s="10">
        <f>IF(TRIM(G38&amp;"")="","",TRIM(G38&amp;""))</f>
        <v/>
      </c>
      <c r="R38" s="10">
        <f>IF(TRIM(B38&amp;"")="","",IFERROR(INDEX(코드표!$K$2:$K$101,MATCH(TRIM(B38&amp;""),코드표!$J$2:$J$101,0)),"⚠"&amp;TRIM(B38&amp;"")))</f>
        <v/>
      </c>
      <c r="S38" s="10">
        <f>IF(TRIM(K38&amp;"")="","",IFERROR(INDEX(코드표!$K$2:$K$101,MATCH(TRIM(K38&amp;""),코드표!$J$2:$J$101,0)),"⚠"&amp;TRIM(K38&amp;"")))</f>
        <v/>
      </c>
      <c r="T38" s="10">
        <f>IF(TRIM(M38&amp;"")="","",IF(ISNUMBER(MATCH(TRIM(M38&amp;""),코드표!$C$2:$C$11,0)),TRIM(M38&amp;""),"⚠"&amp;TRIM(M38&amp;"")))</f>
        <v/>
      </c>
      <c r="U38" s="10">
        <f>IF(TRIM(L38&amp;"")="","",IFERROR(INDEX(코드표!$G$2:$G$101,MATCH(TRIM(L38&amp;""),코드표!$F$2:$F$101,0)),"⚠"&amp;TRIM(L38&amp;"")))</f>
        <v/>
      </c>
      <c r="V38" s="10">
        <f>IF(AND(ISNUMBER(H38),ISNUMBER(I38)),I38-H38+1,"")</f>
        <v/>
      </c>
      <c r="W38" s="17">
        <f>IF(ISNUMBER(H38),MAX(0,MIN(IF(ISNUMBER(I38),I38,EOMONTH(요약!$B$3,0)),EOMONTH(요약!$B$3,0))-MAX(H38,요약!$B$3)+1),0)</f>
        <v/>
      </c>
      <c r="X38" s="10">
        <f>IF(OR(NOT(ISNUMBER(H38)),Q38=""),"",IF(TODAY()&lt;H38,"파견예정",IF(AND(ISNUMBER(I38),TODAY()&gt;I38),"파견종료","파견중")))</f>
        <v/>
      </c>
      <c r="Y38" s="10">
        <f>IF(OR(Q38="",X38=""),"",Q38&amp;"|"&amp;X38)</f>
        <v/>
      </c>
      <c r="Z38" s="10">
        <f>IF(AND(Q38&lt;&gt;"",W38&gt;0),Q38&amp;"|월","")</f>
        <v/>
      </c>
      <c r="AA38" s="10">
        <f>IF(COUNTA(B38:N38)=0,"",IF(Q38="","등록번호 없음",IF(LEFT(R38,1)="⚠","모병원명 미등록",IF(S38="","파견병원 입력",IF(LEFT(S38,1)="⚠","파견병원명 미등록",IF(LEFT(U38,1)="⚠","파견과목 미등록",IF(OR(T38="",LEFT(T38,1)="⚠"),"파견근거 확인",IF(NOT(AND(ISNUMBER(H38),ISNUMBER(I38))),"날짜 형식/누락",IF(I38&lt;H38,"종료일&lt;시작일","")))))))))</f>
        <v/>
      </c>
      <c r="AB38" s="11">
        <f>IF(ISNUMBER(SEARCH("다기관",TRIM(N38&amp;" "&amp;O38))),IFERROR(DATE(VALUE(MID(TRIM(N38&amp;" "&amp;O38),1,4)),VALUE(MID(TRIM(N38&amp;" "&amp;O38),6,2)),VALUE(MID(TRIM(N38&amp;" "&amp;O38),9,2))),IF(ISNUMBER(H38),H38,"")),"")</f>
        <v/>
      </c>
      <c r="AC38" s="11">
        <f>IF(ISNUMBER(SEARCH("다기관",TRIM(N38&amp;" "&amp;O38))),IFERROR(DATE(VALUE(MID(TRIM(N38&amp;" "&amp;O38),12,4)),VALUE(MID(TRIM(N38&amp;" "&amp;O38),17,2)),VALUE(MID(TRIM(N38&amp;" "&amp;O38),20,2))),IF(ISNUMBER(I38),I38,"")),"")</f>
        <v/>
      </c>
      <c r="AD38" s="17">
        <f>IF(AND(ISNUMBER(AB38),ISNUMBER(AC38)),MAX(0,MIN(AC38,EOMONTH(요약!$B$3,0))-MAX(AB38,요약!$B$3)+1),0)</f>
        <v/>
      </c>
      <c r="AE38" s="10">
        <f>IF(AND(Q38&lt;&gt;"",ISNUMBER(AB38)),Q38&amp;"|다기관","")</f>
        <v/>
      </c>
    </row>
    <row r="39">
      <c r="A39" s="15">
        <f>IF(F39="","",ROW()-3)</f>
        <v/>
      </c>
      <c r="B39" s="5" t="n"/>
      <c r="C39" s="15" t="n"/>
      <c r="D39" s="5" t="n"/>
      <c r="E39" s="15" t="n"/>
      <c r="F39" s="5" t="n"/>
      <c r="G39" s="6" t="n"/>
      <c r="H39" s="16" t="n"/>
      <c r="I39" s="16" t="n"/>
      <c r="J39" s="15">
        <f>IF(AND(ISNUMBER(H39),ISNUMBER(I39)),I39-H39+1,"")</f>
        <v/>
      </c>
      <c r="K39" s="5" t="n"/>
      <c r="L39" s="5" t="n"/>
      <c r="M39" s="5" t="n"/>
      <c r="N39" s="5" t="n"/>
      <c r="O39" s="5" t="n"/>
      <c r="Q39" s="10">
        <f>IF(TRIM(G39&amp;"")="","",TRIM(G39&amp;""))</f>
        <v/>
      </c>
      <c r="R39" s="10">
        <f>IF(TRIM(B39&amp;"")="","",IFERROR(INDEX(코드표!$K$2:$K$101,MATCH(TRIM(B39&amp;""),코드표!$J$2:$J$101,0)),"⚠"&amp;TRIM(B39&amp;"")))</f>
        <v/>
      </c>
      <c r="S39" s="10">
        <f>IF(TRIM(K39&amp;"")="","",IFERROR(INDEX(코드표!$K$2:$K$101,MATCH(TRIM(K39&amp;""),코드표!$J$2:$J$101,0)),"⚠"&amp;TRIM(K39&amp;"")))</f>
        <v/>
      </c>
      <c r="T39" s="10">
        <f>IF(TRIM(M39&amp;"")="","",IF(ISNUMBER(MATCH(TRIM(M39&amp;""),코드표!$C$2:$C$11,0)),TRIM(M39&amp;""),"⚠"&amp;TRIM(M39&amp;"")))</f>
        <v/>
      </c>
      <c r="U39" s="10">
        <f>IF(TRIM(L39&amp;"")="","",IFERROR(INDEX(코드표!$G$2:$G$101,MATCH(TRIM(L39&amp;""),코드표!$F$2:$F$101,0)),"⚠"&amp;TRIM(L39&amp;"")))</f>
        <v/>
      </c>
      <c r="V39" s="10">
        <f>IF(AND(ISNUMBER(H39),ISNUMBER(I39)),I39-H39+1,"")</f>
        <v/>
      </c>
      <c r="W39" s="17">
        <f>IF(ISNUMBER(H39),MAX(0,MIN(IF(ISNUMBER(I39),I39,EOMONTH(요약!$B$3,0)),EOMONTH(요약!$B$3,0))-MAX(H39,요약!$B$3)+1),0)</f>
        <v/>
      </c>
      <c r="X39" s="10">
        <f>IF(OR(NOT(ISNUMBER(H39)),Q39=""),"",IF(TODAY()&lt;H39,"파견예정",IF(AND(ISNUMBER(I39),TODAY()&gt;I39),"파견종료","파견중")))</f>
        <v/>
      </c>
      <c r="Y39" s="10">
        <f>IF(OR(Q39="",X39=""),"",Q39&amp;"|"&amp;X39)</f>
        <v/>
      </c>
      <c r="Z39" s="10">
        <f>IF(AND(Q39&lt;&gt;"",W39&gt;0),Q39&amp;"|월","")</f>
        <v/>
      </c>
      <c r="AA39" s="10">
        <f>IF(COUNTA(B39:N39)=0,"",IF(Q39="","등록번호 없음",IF(LEFT(R39,1)="⚠","모병원명 미등록",IF(S39="","파견병원 입력",IF(LEFT(S39,1)="⚠","파견병원명 미등록",IF(LEFT(U39,1)="⚠","파견과목 미등록",IF(OR(T39="",LEFT(T39,1)="⚠"),"파견근거 확인",IF(NOT(AND(ISNUMBER(H39),ISNUMBER(I39))),"날짜 형식/누락",IF(I39&lt;H39,"종료일&lt;시작일","")))))))))</f>
        <v/>
      </c>
      <c r="AB39" s="11">
        <f>IF(ISNUMBER(SEARCH("다기관",TRIM(N39&amp;" "&amp;O39))),IFERROR(DATE(VALUE(MID(TRIM(N39&amp;" "&amp;O39),1,4)),VALUE(MID(TRIM(N39&amp;" "&amp;O39),6,2)),VALUE(MID(TRIM(N39&amp;" "&amp;O39),9,2))),IF(ISNUMBER(H39),H39,"")),"")</f>
        <v/>
      </c>
      <c r="AC39" s="11">
        <f>IF(ISNUMBER(SEARCH("다기관",TRIM(N39&amp;" "&amp;O39))),IFERROR(DATE(VALUE(MID(TRIM(N39&amp;" "&amp;O39),12,4)),VALUE(MID(TRIM(N39&amp;" "&amp;O39),17,2)),VALUE(MID(TRIM(N39&amp;" "&amp;O39),20,2))),IF(ISNUMBER(I39),I39,"")),"")</f>
        <v/>
      </c>
      <c r="AD39" s="17">
        <f>IF(AND(ISNUMBER(AB39),ISNUMBER(AC39)),MAX(0,MIN(AC39,EOMONTH(요약!$B$3,0))-MAX(AB39,요약!$B$3)+1),0)</f>
        <v/>
      </c>
      <c r="AE39" s="10">
        <f>IF(AND(Q39&lt;&gt;"",ISNUMBER(AB39)),Q39&amp;"|다기관","")</f>
        <v/>
      </c>
    </row>
    <row r="40">
      <c r="A40" s="15">
        <f>IF(F40="","",ROW()-3)</f>
        <v/>
      </c>
      <c r="B40" s="5" t="n"/>
      <c r="C40" s="15" t="n"/>
      <c r="D40" s="5" t="n"/>
      <c r="E40" s="15" t="n"/>
      <c r="F40" s="5" t="n"/>
      <c r="G40" s="6" t="n"/>
      <c r="H40" s="16" t="n"/>
      <c r="I40" s="16" t="n"/>
      <c r="J40" s="15">
        <f>IF(AND(ISNUMBER(H40),ISNUMBER(I40)),I40-H40+1,"")</f>
        <v/>
      </c>
      <c r="K40" s="5" t="n"/>
      <c r="L40" s="5" t="n"/>
      <c r="M40" s="5" t="n"/>
      <c r="N40" s="5" t="n"/>
      <c r="O40" s="5" t="n"/>
      <c r="Q40" s="10">
        <f>IF(TRIM(G40&amp;"")="","",TRIM(G40&amp;""))</f>
        <v/>
      </c>
      <c r="R40" s="10">
        <f>IF(TRIM(B40&amp;"")="","",IFERROR(INDEX(코드표!$K$2:$K$101,MATCH(TRIM(B40&amp;""),코드표!$J$2:$J$101,0)),"⚠"&amp;TRIM(B40&amp;"")))</f>
        <v/>
      </c>
      <c r="S40" s="10">
        <f>IF(TRIM(K40&amp;"")="","",IFERROR(INDEX(코드표!$K$2:$K$101,MATCH(TRIM(K40&amp;""),코드표!$J$2:$J$101,0)),"⚠"&amp;TRIM(K40&amp;"")))</f>
        <v/>
      </c>
      <c r="T40" s="10">
        <f>IF(TRIM(M40&amp;"")="","",IF(ISNUMBER(MATCH(TRIM(M40&amp;""),코드표!$C$2:$C$11,0)),TRIM(M40&amp;""),"⚠"&amp;TRIM(M40&amp;"")))</f>
        <v/>
      </c>
      <c r="U40" s="10">
        <f>IF(TRIM(L40&amp;"")="","",IFERROR(INDEX(코드표!$G$2:$G$101,MATCH(TRIM(L40&amp;""),코드표!$F$2:$F$101,0)),"⚠"&amp;TRIM(L40&amp;"")))</f>
        <v/>
      </c>
      <c r="V40" s="10">
        <f>IF(AND(ISNUMBER(H40),ISNUMBER(I40)),I40-H40+1,"")</f>
        <v/>
      </c>
      <c r="W40" s="17">
        <f>IF(ISNUMBER(H40),MAX(0,MIN(IF(ISNUMBER(I40),I40,EOMONTH(요약!$B$3,0)),EOMONTH(요약!$B$3,0))-MAX(H40,요약!$B$3)+1),0)</f>
        <v/>
      </c>
      <c r="X40" s="10">
        <f>IF(OR(NOT(ISNUMBER(H40)),Q40=""),"",IF(TODAY()&lt;H40,"파견예정",IF(AND(ISNUMBER(I40),TODAY()&gt;I40),"파견종료","파견중")))</f>
        <v/>
      </c>
      <c r="Y40" s="10">
        <f>IF(OR(Q40="",X40=""),"",Q40&amp;"|"&amp;X40)</f>
        <v/>
      </c>
      <c r="Z40" s="10">
        <f>IF(AND(Q40&lt;&gt;"",W40&gt;0),Q40&amp;"|월","")</f>
        <v/>
      </c>
      <c r="AA40" s="10">
        <f>IF(COUNTA(B40:N40)=0,"",IF(Q40="","등록번호 없음",IF(LEFT(R40,1)="⚠","모병원명 미등록",IF(S40="","파견병원 입력",IF(LEFT(S40,1)="⚠","파견병원명 미등록",IF(LEFT(U40,1)="⚠","파견과목 미등록",IF(OR(T40="",LEFT(T40,1)="⚠"),"파견근거 확인",IF(NOT(AND(ISNUMBER(H40),ISNUMBER(I40))),"날짜 형식/누락",IF(I40&lt;H40,"종료일&lt;시작일","")))))))))</f>
        <v/>
      </c>
      <c r="AB40" s="11">
        <f>IF(ISNUMBER(SEARCH("다기관",TRIM(N40&amp;" "&amp;O40))),IFERROR(DATE(VALUE(MID(TRIM(N40&amp;" "&amp;O40),1,4)),VALUE(MID(TRIM(N40&amp;" "&amp;O40),6,2)),VALUE(MID(TRIM(N40&amp;" "&amp;O40),9,2))),IF(ISNUMBER(H40),H40,"")),"")</f>
        <v/>
      </c>
      <c r="AC40" s="11">
        <f>IF(ISNUMBER(SEARCH("다기관",TRIM(N40&amp;" "&amp;O40))),IFERROR(DATE(VALUE(MID(TRIM(N40&amp;" "&amp;O40),12,4)),VALUE(MID(TRIM(N40&amp;" "&amp;O40),17,2)),VALUE(MID(TRIM(N40&amp;" "&amp;O40),20,2))),IF(ISNUMBER(I40),I40,"")),"")</f>
        <v/>
      </c>
      <c r="AD40" s="17">
        <f>IF(AND(ISNUMBER(AB40),ISNUMBER(AC40)),MAX(0,MIN(AC40,EOMONTH(요약!$B$3,0))-MAX(AB40,요약!$B$3)+1),0)</f>
        <v/>
      </c>
      <c r="AE40" s="10">
        <f>IF(AND(Q40&lt;&gt;"",ISNUMBER(AB40)),Q40&amp;"|다기관","")</f>
        <v/>
      </c>
    </row>
    <row r="41">
      <c r="A41" s="15">
        <f>IF(F41="","",ROW()-3)</f>
        <v/>
      </c>
      <c r="B41" s="5" t="n"/>
      <c r="C41" s="15" t="n"/>
      <c r="D41" s="5" t="n"/>
      <c r="E41" s="15" t="n"/>
      <c r="F41" s="5" t="n"/>
      <c r="G41" s="6" t="n"/>
      <c r="H41" s="16" t="n"/>
      <c r="I41" s="16" t="n"/>
      <c r="J41" s="15">
        <f>IF(AND(ISNUMBER(H41),ISNUMBER(I41)),I41-H41+1,"")</f>
        <v/>
      </c>
      <c r="K41" s="5" t="n"/>
      <c r="L41" s="5" t="n"/>
      <c r="M41" s="5" t="n"/>
      <c r="N41" s="5" t="n"/>
      <c r="O41" s="5" t="n"/>
      <c r="Q41" s="10">
        <f>IF(TRIM(G41&amp;"")="","",TRIM(G41&amp;""))</f>
        <v/>
      </c>
      <c r="R41" s="10">
        <f>IF(TRIM(B41&amp;"")="","",IFERROR(INDEX(코드표!$K$2:$K$101,MATCH(TRIM(B41&amp;""),코드표!$J$2:$J$101,0)),"⚠"&amp;TRIM(B41&amp;"")))</f>
        <v/>
      </c>
      <c r="S41" s="10">
        <f>IF(TRIM(K41&amp;"")="","",IFERROR(INDEX(코드표!$K$2:$K$101,MATCH(TRIM(K41&amp;""),코드표!$J$2:$J$101,0)),"⚠"&amp;TRIM(K41&amp;"")))</f>
        <v/>
      </c>
      <c r="T41" s="10">
        <f>IF(TRIM(M41&amp;"")="","",IF(ISNUMBER(MATCH(TRIM(M41&amp;""),코드표!$C$2:$C$11,0)),TRIM(M41&amp;""),"⚠"&amp;TRIM(M41&amp;"")))</f>
        <v/>
      </c>
      <c r="U41" s="10">
        <f>IF(TRIM(L41&amp;"")="","",IFERROR(INDEX(코드표!$G$2:$G$101,MATCH(TRIM(L41&amp;""),코드표!$F$2:$F$101,0)),"⚠"&amp;TRIM(L41&amp;"")))</f>
        <v/>
      </c>
      <c r="V41" s="10">
        <f>IF(AND(ISNUMBER(H41),ISNUMBER(I41)),I41-H41+1,"")</f>
        <v/>
      </c>
      <c r="W41" s="17">
        <f>IF(ISNUMBER(H41),MAX(0,MIN(IF(ISNUMBER(I41),I41,EOMONTH(요약!$B$3,0)),EOMONTH(요약!$B$3,0))-MAX(H41,요약!$B$3)+1),0)</f>
        <v/>
      </c>
      <c r="X41" s="10">
        <f>IF(OR(NOT(ISNUMBER(H41)),Q41=""),"",IF(TODAY()&lt;H41,"파견예정",IF(AND(ISNUMBER(I41),TODAY()&gt;I41),"파견종료","파견중")))</f>
        <v/>
      </c>
      <c r="Y41" s="10">
        <f>IF(OR(Q41="",X41=""),"",Q41&amp;"|"&amp;X41)</f>
        <v/>
      </c>
      <c r="Z41" s="10">
        <f>IF(AND(Q41&lt;&gt;"",W41&gt;0),Q41&amp;"|월","")</f>
        <v/>
      </c>
      <c r="AA41" s="10">
        <f>IF(COUNTA(B41:N41)=0,"",IF(Q41="","등록번호 없음",IF(LEFT(R41,1)="⚠","모병원명 미등록",IF(S41="","파견병원 입력",IF(LEFT(S41,1)="⚠","파견병원명 미등록",IF(LEFT(U41,1)="⚠","파견과목 미등록",IF(OR(T41="",LEFT(T41,1)="⚠"),"파견근거 확인",IF(NOT(AND(ISNUMBER(H41),ISNUMBER(I41))),"날짜 형식/누락",IF(I41&lt;H41,"종료일&lt;시작일","")))))))))</f>
        <v/>
      </c>
      <c r="AB41" s="11">
        <f>IF(ISNUMBER(SEARCH("다기관",TRIM(N41&amp;" "&amp;O41))),IFERROR(DATE(VALUE(MID(TRIM(N41&amp;" "&amp;O41),1,4)),VALUE(MID(TRIM(N41&amp;" "&amp;O41),6,2)),VALUE(MID(TRIM(N41&amp;" "&amp;O41),9,2))),IF(ISNUMBER(H41),H41,"")),"")</f>
        <v/>
      </c>
      <c r="AC41" s="11">
        <f>IF(ISNUMBER(SEARCH("다기관",TRIM(N41&amp;" "&amp;O41))),IFERROR(DATE(VALUE(MID(TRIM(N41&amp;" "&amp;O41),12,4)),VALUE(MID(TRIM(N41&amp;" "&amp;O41),17,2)),VALUE(MID(TRIM(N41&amp;" "&amp;O41),20,2))),IF(ISNUMBER(I41),I41,"")),"")</f>
        <v/>
      </c>
      <c r="AD41" s="17">
        <f>IF(AND(ISNUMBER(AB41),ISNUMBER(AC41)),MAX(0,MIN(AC41,EOMONTH(요약!$B$3,0))-MAX(AB41,요약!$B$3)+1),0)</f>
        <v/>
      </c>
      <c r="AE41" s="10">
        <f>IF(AND(Q41&lt;&gt;"",ISNUMBER(AB41)),Q41&amp;"|다기관","")</f>
        <v/>
      </c>
    </row>
    <row r="42">
      <c r="A42" s="15">
        <f>IF(F42="","",ROW()-3)</f>
        <v/>
      </c>
      <c r="B42" s="5" t="n"/>
      <c r="C42" s="15" t="n"/>
      <c r="D42" s="5" t="n"/>
      <c r="E42" s="15" t="n"/>
      <c r="F42" s="5" t="n"/>
      <c r="G42" s="6" t="n"/>
      <c r="H42" s="16" t="n"/>
      <c r="I42" s="16" t="n"/>
      <c r="J42" s="15">
        <f>IF(AND(ISNUMBER(H42),ISNUMBER(I42)),I42-H42+1,"")</f>
        <v/>
      </c>
      <c r="K42" s="5" t="n"/>
      <c r="L42" s="5" t="n"/>
      <c r="M42" s="5" t="n"/>
      <c r="N42" s="5" t="n"/>
      <c r="O42" s="5" t="n"/>
      <c r="Q42" s="10">
        <f>IF(TRIM(G42&amp;"")="","",TRIM(G42&amp;""))</f>
        <v/>
      </c>
      <c r="R42" s="10">
        <f>IF(TRIM(B42&amp;"")="","",IFERROR(INDEX(코드표!$K$2:$K$101,MATCH(TRIM(B42&amp;""),코드표!$J$2:$J$101,0)),"⚠"&amp;TRIM(B42&amp;"")))</f>
        <v/>
      </c>
      <c r="S42" s="10">
        <f>IF(TRIM(K42&amp;"")="","",IFERROR(INDEX(코드표!$K$2:$K$101,MATCH(TRIM(K42&amp;""),코드표!$J$2:$J$101,0)),"⚠"&amp;TRIM(K42&amp;"")))</f>
        <v/>
      </c>
      <c r="T42" s="10">
        <f>IF(TRIM(M42&amp;"")="","",IF(ISNUMBER(MATCH(TRIM(M42&amp;""),코드표!$C$2:$C$11,0)),TRIM(M42&amp;""),"⚠"&amp;TRIM(M42&amp;"")))</f>
        <v/>
      </c>
      <c r="U42" s="10">
        <f>IF(TRIM(L42&amp;"")="","",IFERROR(INDEX(코드표!$G$2:$G$101,MATCH(TRIM(L42&amp;""),코드표!$F$2:$F$101,0)),"⚠"&amp;TRIM(L42&amp;"")))</f>
        <v/>
      </c>
      <c r="V42" s="10">
        <f>IF(AND(ISNUMBER(H42),ISNUMBER(I42)),I42-H42+1,"")</f>
        <v/>
      </c>
      <c r="W42" s="17">
        <f>IF(ISNUMBER(H42),MAX(0,MIN(IF(ISNUMBER(I42),I42,EOMONTH(요약!$B$3,0)),EOMONTH(요약!$B$3,0))-MAX(H42,요약!$B$3)+1),0)</f>
        <v/>
      </c>
      <c r="X42" s="10">
        <f>IF(OR(NOT(ISNUMBER(H42)),Q42=""),"",IF(TODAY()&lt;H42,"파견예정",IF(AND(ISNUMBER(I42),TODAY()&gt;I42),"파견종료","파견중")))</f>
        <v/>
      </c>
      <c r="Y42" s="10">
        <f>IF(OR(Q42="",X42=""),"",Q42&amp;"|"&amp;X42)</f>
        <v/>
      </c>
      <c r="Z42" s="10">
        <f>IF(AND(Q42&lt;&gt;"",W42&gt;0),Q42&amp;"|월","")</f>
        <v/>
      </c>
      <c r="AA42" s="10">
        <f>IF(COUNTA(B42:N42)=0,"",IF(Q42="","등록번호 없음",IF(LEFT(R42,1)="⚠","모병원명 미등록",IF(S42="","파견병원 입력",IF(LEFT(S42,1)="⚠","파견병원명 미등록",IF(LEFT(U42,1)="⚠","파견과목 미등록",IF(OR(T42="",LEFT(T42,1)="⚠"),"파견근거 확인",IF(NOT(AND(ISNUMBER(H42),ISNUMBER(I42))),"날짜 형식/누락",IF(I42&lt;H42,"종료일&lt;시작일","")))))))))</f>
        <v/>
      </c>
      <c r="AB42" s="11">
        <f>IF(ISNUMBER(SEARCH("다기관",TRIM(N42&amp;" "&amp;O42))),IFERROR(DATE(VALUE(MID(TRIM(N42&amp;" "&amp;O42),1,4)),VALUE(MID(TRIM(N42&amp;" "&amp;O42),6,2)),VALUE(MID(TRIM(N42&amp;" "&amp;O42),9,2))),IF(ISNUMBER(H42),H42,"")),"")</f>
        <v/>
      </c>
      <c r="AC42" s="11">
        <f>IF(ISNUMBER(SEARCH("다기관",TRIM(N42&amp;" "&amp;O42))),IFERROR(DATE(VALUE(MID(TRIM(N42&amp;" "&amp;O42),12,4)),VALUE(MID(TRIM(N42&amp;" "&amp;O42),17,2)),VALUE(MID(TRIM(N42&amp;" "&amp;O42),20,2))),IF(ISNUMBER(I42),I42,"")),"")</f>
        <v/>
      </c>
      <c r="AD42" s="17">
        <f>IF(AND(ISNUMBER(AB42),ISNUMBER(AC42)),MAX(0,MIN(AC42,EOMONTH(요약!$B$3,0))-MAX(AB42,요약!$B$3)+1),0)</f>
        <v/>
      </c>
      <c r="AE42" s="10">
        <f>IF(AND(Q42&lt;&gt;"",ISNUMBER(AB42)),Q42&amp;"|다기관","")</f>
        <v/>
      </c>
    </row>
    <row r="43">
      <c r="A43" s="15">
        <f>IF(F43="","",ROW()-3)</f>
        <v/>
      </c>
      <c r="B43" s="5" t="n"/>
      <c r="C43" s="15" t="n"/>
      <c r="D43" s="5" t="n"/>
      <c r="E43" s="15" t="n"/>
      <c r="F43" s="5" t="n"/>
      <c r="G43" s="6" t="n"/>
      <c r="H43" s="16" t="n"/>
      <c r="I43" s="16" t="n"/>
      <c r="J43" s="15">
        <f>IF(AND(ISNUMBER(H43),ISNUMBER(I43)),I43-H43+1,"")</f>
        <v/>
      </c>
      <c r="K43" s="5" t="n"/>
      <c r="L43" s="5" t="n"/>
      <c r="M43" s="5" t="n"/>
      <c r="N43" s="5" t="n"/>
      <c r="O43" s="5" t="n"/>
      <c r="Q43" s="10">
        <f>IF(TRIM(G43&amp;"")="","",TRIM(G43&amp;""))</f>
        <v/>
      </c>
      <c r="R43" s="10">
        <f>IF(TRIM(B43&amp;"")="","",IFERROR(INDEX(코드표!$K$2:$K$101,MATCH(TRIM(B43&amp;""),코드표!$J$2:$J$101,0)),"⚠"&amp;TRIM(B43&amp;"")))</f>
        <v/>
      </c>
      <c r="S43" s="10">
        <f>IF(TRIM(K43&amp;"")="","",IFERROR(INDEX(코드표!$K$2:$K$101,MATCH(TRIM(K43&amp;""),코드표!$J$2:$J$101,0)),"⚠"&amp;TRIM(K43&amp;"")))</f>
        <v/>
      </c>
      <c r="T43" s="10">
        <f>IF(TRIM(M43&amp;"")="","",IF(ISNUMBER(MATCH(TRIM(M43&amp;""),코드표!$C$2:$C$11,0)),TRIM(M43&amp;""),"⚠"&amp;TRIM(M43&amp;"")))</f>
        <v/>
      </c>
      <c r="U43" s="10">
        <f>IF(TRIM(L43&amp;"")="","",IFERROR(INDEX(코드표!$G$2:$G$101,MATCH(TRIM(L43&amp;""),코드표!$F$2:$F$101,0)),"⚠"&amp;TRIM(L43&amp;"")))</f>
        <v/>
      </c>
      <c r="V43" s="10">
        <f>IF(AND(ISNUMBER(H43),ISNUMBER(I43)),I43-H43+1,"")</f>
        <v/>
      </c>
      <c r="W43" s="17">
        <f>IF(ISNUMBER(H43),MAX(0,MIN(IF(ISNUMBER(I43),I43,EOMONTH(요약!$B$3,0)),EOMONTH(요약!$B$3,0))-MAX(H43,요약!$B$3)+1),0)</f>
        <v/>
      </c>
      <c r="X43" s="10">
        <f>IF(OR(NOT(ISNUMBER(H43)),Q43=""),"",IF(TODAY()&lt;H43,"파견예정",IF(AND(ISNUMBER(I43),TODAY()&gt;I43),"파견종료","파견중")))</f>
        <v/>
      </c>
      <c r="Y43" s="10">
        <f>IF(OR(Q43="",X43=""),"",Q43&amp;"|"&amp;X43)</f>
        <v/>
      </c>
      <c r="Z43" s="10">
        <f>IF(AND(Q43&lt;&gt;"",W43&gt;0),Q43&amp;"|월","")</f>
        <v/>
      </c>
      <c r="AA43" s="10">
        <f>IF(COUNTA(B43:N43)=0,"",IF(Q43="","등록번호 없음",IF(LEFT(R43,1)="⚠","모병원명 미등록",IF(S43="","파견병원 입력",IF(LEFT(S43,1)="⚠","파견병원명 미등록",IF(LEFT(U43,1)="⚠","파견과목 미등록",IF(OR(T43="",LEFT(T43,1)="⚠"),"파견근거 확인",IF(NOT(AND(ISNUMBER(H43),ISNUMBER(I43))),"날짜 형식/누락",IF(I43&lt;H43,"종료일&lt;시작일","")))))))))</f>
        <v/>
      </c>
      <c r="AB43" s="11">
        <f>IF(ISNUMBER(SEARCH("다기관",TRIM(N43&amp;" "&amp;O43))),IFERROR(DATE(VALUE(MID(TRIM(N43&amp;" "&amp;O43),1,4)),VALUE(MID(TRIM(N43&amp;" "&amp;O43),6,2)),VALUE(MID(TRIM(N43&amp;" "&amp;O43),9,2))),IF(ISNUMBER(H43),H43,"")),"")</f>
        <v/>
      </c>
      <c r="AC43" s="11">
        <f>IF(ISNUMBER(SEARCH("다기관",TRIM(N43&amp;" "&amp;O43))),IFERROR(DATE(VALUE(MID(TRIM(N43&amp;" "&amp;O43),12,4)),VALUE(MID(TRIM(N43&amp;" "&amp;O43),17,2)),VALUE(MID(TRIM(N43&amp;" "&amp;O43),20,2))),IF(ISNUMBER(I43),I43,"")),"")</f>
        <v/>
      </c>
      <c r="AD43" s="17">
        <f>IF(AND(ISNUMBER(AB43),ISNUMBER(AC43)),MAX(0,MIN(AC43,EOMONTH(요약!$B$3,0))-MAX(AB43,요약!$B$3)+1),0)</f>
        <v/>
      </c>
      <c r="AE43" s="10">
        <f>IF(AND(Q43&lt;&gt;"",ISNUMBER(AB43)),Q43&amp;"|다기관","")</f>
        <v/>
      </c>
    </row>
    <row r="44">
      <c r="A44" s="15">
        <f>IF(F44="","",ROW()-3)</f>
        <v/>
      </c>
      <c r="B44" s="5" t="n"/>
      <c r="C44" s="15" t="n"/>
      <c r="D44" s="5" t="n"/>
      <c r="E44" s="15" t="n"/>
      <c r="F44" s="5" t="n"/>
      <c r="G44" s="6" t="n"/>
      <c r="H44" s="16" t="n"/>
      <c r="I44" s="16" t="n"/>
      <c r="J44" s="15">
        <f>IF(AND(ISNUMBER(H44),ISNUMBER(I44)),I44-H44+1,"")</f>
        <v/>
      </c>
      <c r="K44" s="5" t="n"/>
      <c r="L44" s="5" t="n"/>
      <c r="M44" s="5" t="n"/>
      <c r="N44" s="5" t="n"/>
      <c r="O44" s="5" t="n"/>
      <c r="Q44" s="10">
        <f>IF(TRIM(G44&amp;"")="","",TRIM(G44&amp;""))</f>
        <v/>
      </c>
      <c r="R44" s="10">
        <f>IF(TRIM(B44&amp;"")="","",IFERROR(INDEX(코드표!$K$2:$K$101,MATCH(TRIM(B44&amp;""),코드표!$J$2:$J$101,0)),"⚠"&amp;TRIM(B44&amp;"")))</f>
        <v/>
      </c>
      <c r="S44" s="10">
        <f>IF(TRIM(K44&amp;"")="","",IFERROR(INDEX(코드표!$K$2:$K$101,MATCH(TRIM(K44&amp;""),코드표!$J$2:$J$101,0)),"⚠"&amp;TRIM(K44&amp;"")))</f>
        <v/>
      </c>
      <c r="T44" s="10">
        <f>IF(TRIM(M44&amp;"")="","",IF(ISNUMBER(MATCH(TRIM(M44&amp;""),코드표!$C$2:$C$11,0)),TRIM(M44&amp;""),"⚠"&amp;TRIM(M44&amp;"")))</f>
        <v/>
      </c>
      <c r="U44" s="10">
        <f>IF(TRIM(L44&amp;"")="","",IFERROR(INDEX(코드표!$G$2:$G$101,MATCH(TRIM(L44&amp;""),코드표!$F$2:$F$101,0)),"⚠"&amp;TRIM(L44&amp;"")))</f>
        <v/>
      </c>
      <c r="V44" s="10">
        <f>IF(AND(ISNUMBER(H44),ISNUMBER(I44)),I44-H44+1,"")</f>
        <v/>
      </c>
      <c r="W44" s="17">
        <f>IF(ISNUMBER(H44),MAX(0,MIN(IF(ISNUMBER(I44),I44,EOMONTH(요약!$B$3,0)),EOMONTH(요약!$B$3,0))-MAX(H44,요약!$B$3)+1),0)</f>
        <v/>
      </c>
      <c r="X44" s="10">
        <f>IF(OR(NOT(ISNUMBER(H44)),Q44=""),"",IF(TODAY()&lt;H44,"파견예정",IF(AND(ISNUMBER(I44),TODAY()&gt;I44),"파견종료","파견중")))</f>
        <v/>
      </c>
      <c r="Y44" s="10">
        <f>IF(OR(Q44="",X44=""),"",Q44&amp;"|"&amp;X44)</f>
        <v/>
      </c>
      <c r="Z44" s="10">
        <f>IF(AND(Q44&lt;&gt;"",W44&gt;0),Q44&amp;"|월","")</f>
        <v/>
      </c>
      <c r="AA44" s="10">
        <f>IF(COUNTA(B44:N44)=0,"",IF(Q44="","등록번호 없음",IF(LEFT(R44,1)="⚠","모병원명 미등록",IF(S44="","파견병원 입력",IF(LEFT(S44,1)="⚠","파견병원명 미등록",IF(LEFT(U44,1)="⚠","파견과목 미등록",IF(OR(T44="",LEFT(T44,1)="⚠"),"파견근거 확인",IF(NOT(AND(ISNUMBER(H44),ISNUMBER(I44))),"날짜 형식/누락",IF(I44&lt;H44,"종료일&lt;시작일","")))))))))</f>
        <v/>
      </c>
      <c r="AB44" s="11">
        <f>IF(ISNUMBER(SEARCH("다기관",TRIM(N44&amp;" "&amp;O44))),IFERROR(DATE(VALUE(MID(TRIM(N44&amp;" "&amp;O44),1,4)),VALUE(MID(TRIM(N44&amp;" "&amp;O44),6,2)),VALUE(MID(TRIM(N44&amp;" "&amp;O44),9,2))),IF(ISNUMBER(H44),H44,"")),"")</f>
        <v/>
      </c>
      <c r="AC44" s="11">
        <f>IF(ISNUMBER(SEARCH("다기관",TRIM(N44&amp;" "&amp;O44))),IFERROR(DATE(VALUE(MID(TRIM(N44&amp;" "&amp;O44),12,4)),VALUE(MID(TRIM(N44&amp;" "&amp;O44),17,2)),VALUE(MID(TRIM(N44&amp;" "&amp;O44),20,2))),IF(ISNUMBER(I44),I44,"")),"")</f>
        <v/>
      </c>
      <c r="AD44" s="17">
        <f>IF(AND(ISNUMBER(AB44),ISNUMBER(AC44)),MAX(0,MIN(AC44,EOMONTH(요약!$B$3,0))-MAX(AB44,요약!$B$3)+1),0)</f>
        <v/>
      </c>
      <c r="AE44" s="10">
        <f>IF(AND(Q44&lt;&gt;"",ISNUMBER(AB44)),Q44&amp;"|다기관","")</f>
        <v/>
      </c>
    </row>
    <row r="45">
      <c r="A45" s="15">
        <f>IF(F45="","",ROW()-3)</f>
        <v/>
      </c>
      <c r="B45" s="5" t="n"/>
      <c r="C45" s="15" t="n"/>
      <c r="D45" s="5" t="n"/>
      <c r="E45" s="15" t="n"/>
      <c r="F45" s="5" t="n"/>
      <c r="G45" s="6" t="n"/>
      <c r="H45" s="16" t="n"/>
      <c r="I45" s="16" t="n"/>
      <c r="J45" s="15">
        <f>IF(AND(ISNUMBER(H45),ISNUMBER(I45)),I45-H45+1,"")</f>
        <v/>
      </c>
      <c r="K45" s="5" t="n"/>
      <c r="L45" s="5" t="n"/>
      <c r="M45" s="5" t="n"/>
      <c r="N45" s="5" t="n"/>
      <c r="O45" s="5" t="n"/>
      <c r="Q45" s="10">
        <f>IF(TRIM(G45&amp;"")="","",TRIM(G45&amp;""))</f>
        <v/>
      </c>
      <c r="R45" s="10">
        <f>IF(TRIM(B45&amp;"")="","",IFERROR(INDEX(코드표!$K$2:$K$101,MATCH(TRIM(B45&amp;""),코드표!$J$2:$J$101,0)),"⚠"&amp;TRIM(B45&amp;"")))</f>
        <v/>
      </c>
      <c r="S45" s="10">
        <f>IF(TRIM(K45&amp;"")="","",IFERROR(INDEX(코드표!$K$2:$K$101,MATCH(TRIM(K45&amp;""),코드표!$J$2:$J$101,0)),"⚠"&amp;TRIM(K45&amp;"")))</f>
        <v/>
      </c>
      <c r="T45" s="10">
        <f>IF(TRIM(M45&amp;"")="","",IF(ISNUMBER(MATCH(TRIM(M45&amp;""),코드표!$C$2:$C$11,0)),TRIM(M45&amp;""),"⚠"&amp;TRIM(M45&amp;"")))</f>
        <v/>
      </c>
      <c r="U45" s="10">
        <f>IF(TRIM(L45&amp;"")="","",IFERROR(INDEX(코드표!$G$2:$G$101,MATCH(TRIM(L45&amp;""),코드표!$F$2:$F$101,0)),"⚠"&amp;TRIM(L45&amp;"")))</f>
        <v/>
      </c>
      <c r="V45" s="10">
        <f>IF(AND(ISNUMBER(H45),ISNUMBER(I45)),I45-H45+1,"")</f>
        <v/>
      </c>
      <c r="W45" s="17">
        <f>IF(ISNUMBER(H45),MAX(0,MIN(IF(ISNUMBER(I45),I45,EOMONTH(요약!$B$3,0)),EOMONTH(요약!$B$3,0))-MAX(H45,요약!$B$3)+1),0)</f>
        <v/>
      </c>
      <c r="X45" s="10">
        <f>IF(OR(NOT(ISNUMBER(H45)),Q45=""),"",IF(TODAY()&lt;H45,"파견예정",IF(AND(ISNUMBER(I45),TODAY()&gt;I45),"파견종료","파견중")))</f>
        <v/>
      </c>
      <c r="Y45" s="10">
        <f>IF(OR(Q45="",X45=""),"",Q45&amp;"|"&amp;X45)</f>
        <v/>
      </c>
      <c r="Z45" s="10">
        <f>IF(AND(Q45&lt;&gt;"",W45&gt;0),Q45&amp;"|월","")</f>
        <v/>
      </c>
      <c r="AA45" s="10">
        <f>IF(COUNTA(B45:N45)=0,"",IF(Q45="","등록번호 없음",IF(LEFT(R45,1)="⚠","모병원명 미등록",IF(S45="","파견병원 입력",IF(LEFT(S45,1)="⚠","파견병원명 미등록",IF(LEFT(U45,1)="⚠","파견과목 미등록",IF(OR(T45="",LEFT(T45,1)="⚠"),"파견근거 확인",IF(NOT(AND(ISNUMBER(H45),ISNUMBER(I45))),"날짜 형식/누락",IF(I45&lt;H45,"종료일&lt;시작일","")))))))))</f>
        <v/>
      </c>
      <c r="AB45" s="11">
        <f>IF(ISNUMBER(SEARCH("다기관",TRIM(N45&amp;" "&amp;O45))),IFERROR(DATE(VALUE(MID(TRIM(N45&amp;" "&amp;O45),1,4)),VALUE(MID(TRIM(N45&amp;" "&amp;O45),6,2)),VALUE(MID(TRIM(N45&amp;" "&amp;O45),9,2))),IF(ISNUMBER(H45),H45,"")),"")</f>
        <v/>
      </c>
      <c r="AC45" s="11">
        <f>IF(ISNUMBER(SEARCH("다기관",TRIM(N45&amp;" "&amp;O45))),IFERROR(DATE(VALUE(MID(TRIM(N45&amp;" "&amp;O45),12,4)),VALUE(MID(TRIM(N45&amp;" "&amp;O45),17,2)),VALUE(MID(TRIM(N45&amp;" "&amp;O45),20,2))),IF(ISNUMBER(I45),I45,"")),"")</f>
        <v/>
      </c>
      <c r="AD45" s="17">
        <f>IF(AND(ISNUMBER(AB45),ISNUMBER(AC45)),MAX(0,MIN(AC45,EOMONTH(요약!$B$3,0))-MAX(AB45,요약!$B$3)+1),0)</f>
        <v/>
      </c>
      <c r="AE45" s="10">
        <f>IF(AND(Q45&lt;&gt;"",ISNUMBER(AB45)),Q45&amp;"|다기관","")</f>
        <v/>
      </c>
    </row>
    <row r="46">
      <c r="A46" s="15">
        <f>IF(F46="","",ROW()-3)</f>
        <v/>
      </c>
      <c r="B46" s="5" t="n"/>
      <c r="C46" s="15" t="n"/>
      <c r="D46" s="5" t="n"/>
      <c r="E46" s="15" t="n"/>
      <c r="F46" s="5" t="n"/>
      <c r="G46" s="6" t="n"/>
      <c r="H46" s="16" t="n"/>
      <c r="I46" s="16" t="n"/>
      <c r="J46" s="15">
        <f>IF(AND(ISNUMBER(H46),ISNUMBER(I46)),I46-H46+1,"")</f>
        <v/>
      </c>
      <c r="K46" s="5" t="n"/>
      <c r="L46" s="5" t="n"/>
      <c r="M46" s="5" t="n"/>
      <c r="N46" s="5" t="n"/>
      <c r="O46" s="5" t="n"/>
      <c r="Q46" s="10">
        <f>IF(TRIM(G46&amp;"")="","",TRIM(G46&amp;""))</f>
        <v/>
      </c>
      <c r="R46" s="10">
        <f>IF(TRIM(B46&amp;"")="","",IFERROR(INDEX(코드표!$K$2:$K$101,MATCH(TRIM(B46&amp;""),코드표!$J$2:$J$101,0)),"⚠"&amp;TRIM(B46&amp;"")))</f>
        <v/>
      </c>
      <c r="S46" s="10">
        <f>IF(TRIM(K46&amp;"")="","",IFERROR(INDEX(코드표!$K$2:$K$101,MATCH(TRIM(K46&amp;""),코드표!$J$2:$J$101,0)),"⚠"&amp;TRIM(K46&amp;"")))</f>
        <v/>
      </c>
      <c r="T46" s="10">
        <f>IF(TRIM(M46&amp;"")="","",IF(ISNUMBER(MATCH(TRIM(M46&amp;""),코드표!$C$2:$C$11,0)),TRIM(M46&amp;""),"⚠"&amp;TRIM(M46&amp;"")))</f>
        <v/>
      </c>
      <c r="U46" s="10">
        <f>IF(TRIM(L46&amp;"")="","",IFERROR(INDEX(코드표!$G$2:$G$101,MATCH(TRIM(L46&amp;""),코드표!$F$2:$F$101,0)),"⚠"&amp;TRIM(L46&amp;"")))</f>
        <v/>
      </c>
      <c r="V46" s="10">
        <f>IF(AND(ISNUMBER(H46),ISNUMBER(I46)),I46-H46+1,"")</f>
        <v/>
      </c>
      <c r="W46" s="17">
        <f>IF(ISNUMBER(H46),MAX(0,MIN(IF(ISNUMBER(I46),I46,EOMONTH(요약!$B$3,0)),EOMONTH(요약!$B$3,0))-MAX(H46,요약!$B$3)+1),0)</f>
        <v/>
      </c>
      <c r="X46" s="10">
        <f>IF(OR(NOT(ISNUMBER(H46)),Q46=""),"",IF(TODAY()&lt;H46,"파견예정",IF(AND(ISNUMBER(I46),TODAY()&gt;I46),"파견종료","파견중")))</f>
        <v/>
      </c>
      <c r="Y46" s="10">
        <f>IF(OR(Q46="",X46=""),"",Q46&amp;"|"&amp;X46)</f>
        <v/>
      </c>
      <c r="Z46" s="10">
        <f>IF(AND(Q46&lt;&gt;"",W46&gt;0),Q46&amp;"|월","")</f>
        <v/>
      </c>
      <c r="AA46" s="10">
        <f>IF(COUNTA(B46:N46)=0,"",IF(Q46="","등록번호 없음",IF(LEFT(R46,1)="⚠","모병원명 미등록",IF(S46="","파견병원 입력",IF(LEFT(S46,1)="⚠","파견병원명 미등록",IF(LEFT(U46,1)="⚠","파견과목 미등록",IF(OR(T46="",LEFT(T46,1)="⚠"),"파견근거 확인",IF(NOT(AND(ISNUMBER(H46),ISNUMBER(I46))),"날짜 형식/누락",IF(I46&lt;H46,"종료일&lt;시작일","")))))))))</f>
        <v/>
      </c>
      <c r="AB46" s="11">
        <f>IF(ISNUMBER(SEARCH("다기관",TRIM(N46&amp;" "&amp;O46))),IFERROR(DATE(VALUE(MID(TRIM(N46&amp;" "&amp;O46),1,4)),VALUE(MID(TRIM(N46&amp;" "&amp;O46),6,2)),VALUE(MID(TRIM(N46&amp;" "&amp;O46),9,2))),IF(ISNUMBER(H46),H46,"")),"")</f>
        <v/>
      </c>
      <c r="AC46" s="11">
        <f>IF(ISNUMBER(SEARCH("다기관",TRIM(N46&amp;" "&amp;O46))),IFERROR(DATE(VALUE(MID(TRIM(N46&amp;" "&amp;O46),12,4)),VALUE(MID(TRIM(N46&amp;" "&amp;O46),17,2)),VALUE(MID(TRIM(N46&amp;" "&amp;O46),20,2))),IF(ISNUMBER(I46),I46,"")),"")</f>
        <v/>
      </c>
      <c r="AD46" s="17">
        <f>IF(AND(ISNUMBER(AB46),ISNUMBER(AC46)),MAX(0,MIN(AC46,EOMONTH(요약!$B$3,0))-MAX(AB46,요약!$B$3)+1),0)</f>
        <v/>
      </c>
      <c r="AE46" s="10">
        <f>IF(AND(Q46&lt;&gt;"",ISNUMBER(AB46)),Q46&amp;"|다기관","")</f>
        <v/>
      </c>
    </row>
    <row r="47">
      <c r="A47" s="15">
        <f>IF(F47="","",ROW()-3)</f>
        <v/>
      </c>
      <c r="B47" s="5" t="n"/>
      <c r="C47" s="15" t="n"/>
      <c r="D47" s="5" t="n"/>
      <c r="E47" s="15" t="n"/>
      <c r="F47" s="5" t="n"/>
      <c r="G47" s="6" t="n"/>
      <c r="H47" s="16" t="n"/>
      <c r="I47" s="16" t="n"/>
      <c r="J47" s="15">
        <f>IF(AND(ISNUMBER(H47),ISNUMBER(I47)),I47-H47+1,"")</f>
        <v/>
      </c>
      <c r="K47" s="5" t="n"/>
      <c r="L47" s="5" t="n"/>
      <c r="M47" s="5" t="n"/>
      <c r="N47" s="5" t="n"/>
      <c r="O47" s="5" t="n"/>
      <c r="Q47" s="10">
        <f>IF(TRIM(G47&amp;"")="","",TRIM(G47&amp;""))</f>
        <v/>
      </c>
      <c r="R47" s="10">
        <f>IF(TRIM(B47&amp;"")="","",IFERROR(INDEX(코드표!$K$2:$K$101,MATCH(TRIM(B47&amp;""),코드표!$J$2:$J$101,0)),"⚠"&amp;TRIM(B47&amp;"")))</f>
        <v/>
      </c>
      <c r="S47" s="10">
        <f>IF(TRIM(K47&amp;"")="","",IFERROR(INDEX(코드표!$K$2:$K$101,MATCH(TRIM(K47&amp;""),코드표!$J$2:$J$101,0)),"⚠"&amp;TRIM(K47&amp;"")))</f>
        <v/>
      </c>
      <c r="T47" s="10">
        <f>IF(TRIM(M47&amp;"")="","",IF(ISNUMBER(MATCH(TRIM(M47&amp;""),코드표!$C$2:$C$11,0)),TRIM(M47&amp;""),"⚠"&amp;TRIM(M47&amp;"")))</f>
        <v/>
      </c>
      <c r="U47" s="10">
        <f>IF(TRIM(L47&amp;"")="","",IFERROR(INDEX(코드표!$G$2:$G$101,MATCH(TRIM(L47&amp;""),코드표!$F$2:$F$101,0)),"⚠"&amp;TRIM(L47&amp;"")))</f>
        <v/>
      </c>
      <c r="V47" s="10">
        <f>IF(AND(ISNUMBER(H47),ISNUMBER(I47)),I47-H47+1,"")</f>
        <v/>
      </c>
      <c r="W47" s="17">
        <f>IF(ISNUMBER(H47),MAX(0,MIN(IF(ISNUMBER(I47),I47,EOMONTH(요약!$B$3,0)),EOMONTH(요약!$B$3,0))-MAX(H47,요약!$B$3)+1),0)</f>
        <v/>
      </c>
      <c r="X47" s="10">
        <f>IF(OR(NOT(ISNUMBER(H47)),Q47=""),"",IF(TODAY()&lt;H47,"파견예정",IF(AND(ISNUMBER(I47),TODAY()&gt;I47),"파견종료","파견중")))</f>
        <v/>
      </c>
      <c r="Y47" s="10">
        <f>IF(OR(Q47="",X47=""),"",Q47&amp;"|"&amp;X47)</f>
        <v/>
      </c>
      <c r="Z47" s="10">
        <f>IF(AND(Q47&lt;&gt;"",W47&gt;0),Q47&amp;"|월","")</f>
        <v/>
      </c>
      <c r="AA47" s="10">
        <f>IF(COUNTA(B47:N47)=0,"",IF(Q47="","등록번호 없음",IF(LEFT(R47,1)="⚠","모병원명 미등록",IF(S47="","파견병원 입력",IF(LEFT(S47,1)="⚠","파견병원명 미등록",IF(LEFT(U47,1)="⚠","파견과목 미등록",IF(OR(T47="",LEFT(T47,1)="⚠"),"파견근거 확인",IF(NOT(AND(ISNUMBER(H47),ISNUMBER(I47))),"날짜 형식/누락",IF(I47&lt;H47,"종료일&lt;시작일","")))))))))</f>
        <v/>
      </c>
      <c r="AB47" s="11">
        <f>IF(ISNUMBER(SEARCH("다기관",TRIM(N47&amp;" "&amp;O47))),IFERROR(DATE(VALUE(MID(TRIM(N47&amp;" "&amp;O47),1,4)),VALUE(MID(TRIM(N47&amp;" "&amp;O47),6,2)),VALUE(MID(TRIM(N47&amp;" "&amp;O47),9,2))),IF(ISNUMBER(H47),H47,"")),"")</f>
        <v/>
      </c>
      <c r="AC47" s="11">
        <f>IF(ISNUMBER(SEARCH("다기관",TRIM(N47&amp;" "&amp;O47))),IFERROR(DATE(VALUE(MID(TRIM(N47&amp;" "&amp;O47),12,4)),VALUE(MID(TRIM(N47&amp;" "&amp;O47),17,2)),VALUE(MID(TRIM(N47&amp;" "&amp;O47),20,2))),IF(ISNUMBER(I47),I47,"")),"")</f>
        <v/>
      </c>
      <c r="AD47" s="17">
        <f>IF(AND(ISNUMBER(AB47),ISNUMBER(AC47)),MAX(0,MIN(AC47,EOMONTH(요약!$B$3,0))-MAX(AB47,요약!$B$3)+1),0)</f>
        <v/>
      </c>
      <c r="AE47" s="10">
        <f>IF(AND(Q47&lt;&gt;"",ISNUMBER(AB47)),Q47&amp;"|다기관","")</f>
        <v/>
      </c>
    </row>
    <row r="48">
      <c r="A48" s="15">
        <f>IF(F48="","",ROW()-3)</f>
        <v/>
      </c>
      <c r="B48" s="5" t="n"/>
      <c r="C48" s="15" t="n"/>
      <c r="D48" s="5" t="n"/>
      <c r="E48" s="15" t="n"/>
      <c r="F48" s="5" t="n"/>
      <c r="G48" s="6" t="n"/>
      <c r="H48" s="16" t="n"/>
      <c r="I48" s="16" t="n"/>
      <c r="J48" s="15">
        <f>IF(AND(ISNUMBER(H48),ISNUMBER(I48)),I48-H48+1,"")</f>
        <v/>
      </c>
      <c r="K48" s="5" t="n"/>
      <c r="L48" s="5" t="n"/>
      <c r="M48" s="5" t="n"/>
      <c r="N48" s="5" t="n"/>
      <c r="O48" s="5" t="n"/>
      <c r="Q48" s="10">
        <f>IF(TRIM(G48&amp;"")="","",TRIM(G48&amp;""))</f>
        <v/>
      </c>
      <c r="R48" s="10">
        <f>IF(TRIM(B48&amp;"")="","",IFERROR(INDEX(코드표!$K$2:$K$101,MATCH(TRIM(B48&amp;""),코드표!$J$2:$J$101,0)),"⚠"&amp;TRIM(B48&amp;"")))</f>
        <v/>
      </c>
      <c r="S48" s="10">
        <f>IF(TRIM(K48&amp;"")="","",IFERROR(INDEX(코드표!$K$2:$K$101,MATCH(TRIM(K48&amp;""),코드표!$J$2:$J$101,0)),"⚠"&amp;TRIM(K48&amp;"")))</f>
        <v/>
      </c>
      <c r="T48" s="10">
        <f>IF(TRIM(M48&amp;"")="","",IF(ISNUMBER(MATCH(TRIM(M48&amp;""),코드표!$C$2:$C$11,0)),TRIM(M48&amp;""),"⚠"&amp;TRIM(M48&amp;"")))</f>
        <v/>
      </c>
      <c r="U48" s="10">
        <f>IF(TRIM(L48&amp;"")="","",IFERROR(INDEX(코드표!$G$2:$G$101,MATCH(TRIM(L48&amp;""),코드표!$F$2:$F$101,0)),"⚠"&amp;TRIM(L48&amp;"")))</f>
        <v/>
      </c>
      <c r="V48" s="10">
        <f>IF(AND(ISNUMBER(H48),ISNUMBER(I48)),I48-H48+1,"")</f>
        <v/>
      </c>
      <c r="W48" s="17">
        <f>IF(ISNUMBER(H48),MAX(0,MIN(IF(ISNUMBER(I48),I48,EOMONTH(요약!$B$3,0)),EOMONTH(요약!$B$3,0))-MAX(H48,요약!$B$3)+1),0)</f>
        <v/>
      </c>
      <c r="X48" s="10">
        <f>IF(OR(NOT(ISNUMBER(H48)),Q48=""),"",IF(TODAY()&lt;H48,"파견예정",IF(AND(ISNUMBER(I48),TODAY()&gt;I48),"파견종료","파견중")))</f>
        <v/>
      </c>
      <c r="Y48" s="10">
        <f>IF(OR(Q48="",X48=""),"",Q48&amp;"|"&amp;X48)</f>
        <v/>
      </c>
      <c r="Z48" s="10">
        <f>IF(AND(Q48&lt;&gt;"",W48&gt;0),Q48&amp;"|월","")</f>
        <v/>
      </c>
      <c r="AA48" s="10">
        <f>IF(COUNTA(B48:N48)=0,"",IF(Q48="","등록번호 없음",IF(LEFT(R48,1)="⚠","모병원명 미등록",IF(S48="","파견병원 입력",IF(LEFT(S48,1)="⚠","파견병원명 미등록",IF(LEFT(U48,1)="⚠","파견과목 미등록",IF(OR(T48="",LEFT(T48,1)="⚠"),"파견근거 확인",IF(NOT(AND(ISNUMBER(H48),ISNUMBER(I48))),"날짜 형식/누락",IF(I48&lt;H48,"종료일&lt;시작일","")))))))))</f>
        <v/>
      </c>
      <c r="AB48" s="11">
        <f>IF(ISNUMBER(SEARCH("다기관",TRIM(N48&amp;" "&amp;O48))),IFERROR(DATE(VALUE(MID(TRIM(N48&amp;" "&amp;O48),1,4)),VALUE(MID(TRIM(N48&amp;" "&amp;O48),6,2)),VALUE(MID(TRIM(N48&amp;" "&amp;O48),9,2))),IF(ISNUMBER(H48),H48,"")),"")</f>
        <v/>
      </c>
      <c r="AC48" s="11">
        <f>IF(ISNUMBER(SEARCH("다기관",TRIM(N48&amp;" "&amp;O48))),IFERROR(DATE(VALUE(MID(TRIM(N48&amp;" "&amp;O48),12,4)),VALUE(MID(TRIM(N48&amp;" "&amp;O48),17,2)),VALUE(MID(TRIM(N48&amp;" "&amp;O48),20,2))),IF(ISNUMBER(I48),I48,"")),"")</f>
        <v/>
      </c>
      <c r="AD48" s="17">
        <f>IF(AND(ISNUMBER(AB48),ISNUMBER(AC48)),MAX(0,MIN(AC48,EOMONTH(요약!$B$3,0))-MAX(AB48,요약!$B$3)+1),0)</f>
        <v/>
      </c>
      <c r="AE48" s="10">
        <f>IF(AND(Q48&lt;&gt;"",ISNUMBER(AB48)),Q48&amp;"|다기관","")</f>
        <v/>
      </c>
    </row>
    <row r="49">
      <c r="A49" s="15">
        <f>IF(F49="","",ROW()-3)</f>
        <v/>
      </c>
      <c r="B49" s="5" t="n"/>
      <c r="C49" s="15" t="n"/>
      <c r="D49" s="5" t="n"/>
      <c r="E49" s="15" t="n"/>
      <c r="F49" s="5" t="n"/>
      <c r="G49" s="6" t="n"/>
      <c r="H49" s="16" t="n"/>
      <c r="I49" s="16" t="n"/>
      <c r="J49" s="15">
        <f>IF(AND(ISNUMBER(H49),ISNUMBER(I49)),I49-H49+1,"")</f>
        <v/>
      </c>
      <c r="K49" s="5" t="n"/>
      <c r="L49" s="5" t="n"/>
      <c r="M49" s="5" t="n"/>
      <c r="N49" s="5" t="n"/>
      <c r="O49" s="5" t="n"/>
      <c r="Q49" s="10">
        <f>IF(TRIM(G49&amp;"")="","",TRIM(G49&amp;""))</f>
        <v/>
      </c>
      <c r="R49" s="10">
        <f>IF(TRIM(B49&amp;"")="","",IFERROR(INDEX(코드표!$K$2:$K$101,MATCH(TRIM(B49&amp;""),코드표!$J$2:$J$101,0)),"⚠"&amp;TRIM(B49&amp;"")))</f>
        <v/>
      </c>
      <c r="S49" s="10">
        <f>IF(TRIM(K49&amp;"")="","",IFERROR(INDEX(코드표!$K$2:$K$101,MATCH(TRIM(K49&amp;""),코드표!$J$2:$J$101,0)),"⚠"&amp;TRIM(K49&amp;"")))</f>
        <v/>
      </c>
      <c r="T49" s="10">
        <f>IF(TRIM(M49&amp;"")="","",IF(ISNUMBER(MATCH(TRIM(M49&amp;""),코드표!$C$2:$C$11,0)),TRIM(M49&amp;""),"⚠"&amp;TRIM(M49&amp;"")))</f>
        <v/>
      </c>
      <c r="U49" s="10">
        <f>IF(TRIM(L49&amp;"")="","",IFERROR(INDEX(코드표!$G$2:$G$101,MATCH(TRIM(L49&amp;""),코드표!$F$2:$F$101,0)),"⚠"&amp;TRIM(L49&amp;"")))</f>
        <v/>
      </c>
      <c r="V49" s="10">
        <f>IF(AND(ISNUMBER(H49),ISNUMBER(I49)),I49-H49+1,"")</f>
        <v/>
      </c>
      <c r="W49" s="17">
        <f>IF(ISNUMBER(H49),MAX(0,MIN(IF(ISNUMBER(I49),I49,EOMONTH(요약!$B$3,0)),EOMONTH(요약!$B$3,0))-MAX(H49,요약!$B$3)+1),0)</f>
        <v/>
      </c>
      <c r="X49" s="10">
        <f>IF(OR(NOT(ISNUMBER(H49)),Q49=""),"",IF(TODAY()&lt;H49,"파견예정",IF(AND(ISNUMBER(I49),TODAY()&gt;I49),"파견종료","파견중")))</f>
        <v/>
      </c>
      <c r="Y49" s="10">
        <f>IF(OR(Q49="",X49=""),"",Q49&amp;"|"&amp;X49)</f>
        <v/>
      </c>
      <c r="Z49" s="10">
        <f>IF(AND(Q49&lt;&gt;"",W49&gt;0),Q49&amp;"|월","")</f>
        <v/>
      </c>
      <c r="AA49" s="10">
        <f>IF(COUNTA(B49:N49)=0,"",IF(Q49="","등록번호 없음",IF(LEFT(R49,1)="⚠","모병원명 미등록",IF(S49="","파견병원 입력",IF(LEFT(S49,1)="⚠","파견병원명 미등록",IF(LEFT(U49,1)="⚠","파견과목 미등록",IF(OR(T49="",LEFT(T49,1)="⚠"),"파견근거 확인",IF(NOT(AND(ISNUMBER(H49),ISNUMBER(I49))),"날짜 형식/누락",IF(I49&lt;H49,"종료일&lt;시작일","")))))))))</f>
        <v/>
      </c>
      <c r="AB49" s="11">
        <f>IF(ISNUMBER(SEARCH("다기관",TRIM(N49&amp;" "&amp;O49))),IFERROR(DATE(VALUE(MID(TRIM(N49&amp;" "&amp;O49),1,4)),VALUE(MID(TRIM(N49&amp;" "&amp;O49),6,2)),VALUE(MID(TRIM(N49&amp;" "&amp;O49),9,2))),IF(ISNUMBER(H49),H49,"")),"")</f>
        <v/>
      </c>
      <c r="AC49" s="11">
        <f>IF(ISNUMBER(SEARCH("다기관",TRIM(N49&amp;" "&amp;O49))),IFERROR(DATE(VALUE(MID(TRIM(N49&amp;" "&amp;O49),12,4)),VALUE(MID(TRIM(N49&amp;" "&amp;O49),17,2)),VALUE(MID(TRIM(N49&amp;" "&amp;O49),20,2))),IF(ISNUMBER(I49),I49,"")),"")</f>
        <v/>
      </c>
      <c r="AD49" s="17">
        <f>IF(AND(ISNUMBER(AB49),ISNUMBER(AC49)),MAX(0,MIN(AC49,EOMONTH(요약!$B$3,0))-MAX(AB49,요약!$B$3)+1),0)</f>
        <v/>
      </c>
      <c r="AE49" s="10">
        <f>IF(AND(Q49&lt;&gt;"",ISNUMBER(AB49)),Q49&amp;"|다기관","")</f>
        <v/>
      </c>
    </row>
    <row r="50">
      <c r="A50" s="15">
        <f>IF(F50="","",ROW()-3)</f>
        <v/>
      </c>
      <c r="B50" s="5" t="n"/>
      <c r="C50" s="15" t="n"/>
      <c r="D50" s="5" t="n"/>
      <c r="E50" s="15" t="n"/>
      <c r="F50" s="5" t="n"/>
      <c r="G50" s="6" t="n"/>
      <c r="H50" s="16" t="n"/>
      <c r="I50" s="16" t="n"/>
      <c r="J50" s="15">
        <f>IF(AND(ISNUMBER(H50),ISNUMBER(I50)),I50-H50+1,"")</f>
        <v/>
      </c>
      <c r="K50" s="5" t="n"/>
      <c r="L50" s="5" t="n"/>
      <c r="M50" s="5" t="n"/>
      <c r="N50" s="5" t="n"/>
      <c r="O50" s="5" t="n"/>
      <c r="Q50" s="10">
        <f>IF(TRIM(G50&amp;"")="","",TRIM(G50&amp;""))</f>
        <v/>
      </c>
      <c r="R50" s="10">
        <f>IF(TRIM(B50&amp;"")="","",IFERROR(INDEX(코드표!$K$2:$K$101,MATCH(TRIM(B50&amp;""),코드표!$J$2:$J$101,0)),"⚠"&amp;TRIM(B50&amp;"")))</f>
        <v/>
      </c>
      <c r="S50" s="10">
        <f>IF(TRIM(K50&amp;"")="","",IFERROR(INDEX(코드표!$K$2:$K$101,MATCH(TRIM(K50&amp;""),코드표!$J$2:$J$101,0)),"⚠"&amp;TRIM(K50&amp;"")))</f>
        <v/>
      </c>
      <c r="T50" s="10">
        <f>IF(TRIM(M50&amp;"")="","",IF(ISNUMBER(MATCH(TRIM(M50&amp;""),코드표!$C$2:$C$11,0)),TRIM(M50&amp;""),"⚠"&amp;TRIM(M50&amp;"")))</f>
        <v/>
      </c>
      <c r="U50" s="10">
        <f>IF(TRIM(L50&amp;"")="","",IFERROR(INDEX(코드표!$G$2:$G$101,MATCH(TRIM(L50&amp;""),코드표!$F$2:$F$101,0)),"⚠"&amp;TRIM(L50&amp;"")))</f>
        <v/>
      </c>
      <c r="V50" s="10">
        <f>IF(AND(ISNUMBER(H50),ISNUMBER(I50)),I50-H50+1,"")</f>
        <v/>
      </c>
      <c r="W50" s="17">
        <f>IF(ISNUMBER(H50),MAX(0,MIN(IF(ISNUMBER(I50),I50,EOMONTH(요약!$B$3,0)),EOMONTH(요약!$B$3,0))-MAX(H50,요약!$B$3)+1),0)</f>
        <v/>
      </c>
      <c r="X50" s="10">
        <f>IF(OR(NOT(ISNUMBER(H50)),Q50=""),"",IF(TODAY()&lt;H50,"파견예정",IF(AND(ISNUMBER(I50),TODAY()&gt;I50),"파견종료","파견중")))</f>
        <v/>
      </c>
      <c r="Y50" s="10">
        <f>IF(OR(Q50="",X50=""),"",Q50&amp;"|"&amp;X50)</f>
        <v/>
      </c>
      <c r="Z50" s="10">
        <f>IF(AND(Q50&lt;&gt;"",W50&gt;0),Q50&amp;"|월","")</f>
        <v/>
      </c>
      <c r="AA50" s="10">
        <f>IF(COUNTA(B50:N50)=0,"",IF(Q50="","등록번호 없음",IF(LEFT(R50,1)="⚠","모병원명 미등록",IF(S50="","파견병원 입력",IF(LEFT(S50,1)="⚠","파견병원명 미등록",IF(LEFT(U50,1)="⚠","파견과목 미등록",IF(OR(T50="",LEFT(T50,1)="⚠"),"파견근거 확인",IF(NOT(AND(ISNUMBER(H50),ISNUMBER(I50))),"날짜 형식/누락",IF(I50&lt;H50,"종료일&lt;시작일","")))))))))</f>
        <v/>
      </c>
      <c r="AB50" s="11">
        <f>IF(ISNUMBER(SEARCH("다기관",TRIM(N50&amp;" "&amp;O50))),IFERROR(DATE(VALUE(MID(TRIM(N50&amp;" "&amp;O50),1,4)),VALUE(MID(TRIM(N50&amp;" "&amp;O50),6,2)),VALUE(MID(TRIM(N50&amp;" "&amp;O50),9,2))),IF(ISNUMBER(H50),H50,"")),"")</f>
        <v/>
      </c>
      <c r="AC50" s="11">
        <f>IF(ISNUMBER(SEARCH("다기관",TRIM(N50&amp;" "&amp;O50))),IFERROR(DATE(VALUE(MID(TRIM(N50&amp;" "&amp;O50),12,4)),VALUE(MID(TRIM(N50&amp;" "&amp;O50),17,2)),VALUE(MID(TRIM(N50&amp;" "&amp;O50),20,2))),IF(ISNUMBER(I50),I50,"")),"")</f>
        <v/>
      </c>
      <c r="AD50" s="17">
        <f>IF(AND(ISNUMBER(AB50),ISNUMBER(AC50)),MAX(0,MIN(AC50,EOMONTH(요약!$B$3,0))-MAX(AB50,요약!$B$3)+1),0)</f>
        <v/>
      </c>
      <c r="AE50" s="10">
        <f>IF(AND(Q50&lt;&gt;"",ISNUMBER(AB50)),Q50&amp;"|다기관","")</f>
        <v/>
      </c>
    </row>
    <row r="51">
      <c r="A51" s="15">
        <f>IF(F51="","",ROW()-3)</f>
        <v/>
      </c>
      <c r="B51" s="5" t="n"/>
      <c r="C51" s="15" t="n"/>
      <c r="D51" s="5" t="n"/>
      <c r="E51" s="15" t="n"/>
      <c r="F51" s="5" t="n"/>
      <c r="G51" s="6" t="n"/>
      <c r="H51" s="16" t="n"/>
      <c r="I51" s="16" t="n"/>
      <c r="J51" s="15">
        <f>IF(AND(ISNUMBER(H51),ISNUMBER(I51)),I51-H51+1,"")</f>
        <v/>
      </c>
      <c r="K51" s="5" t="n"/>
      <c r="L51" s="5" t="n"/>
      <c r="M51" s="5" t="n"/>
      <c r="N51" s="5" t="n"/>
      <c r="O51" s="5" t="n"/>
      <c r="Q51" s="10">
        <f>IF(TRIM(G51&amp;"")="","",TRIM(G51&amp;""))</f>
        <v/>
      </c>
      <c r="R51" s="10">
        <f>IF(TRIM(B51&amp;"")="","",IFERROR(INDEX(코드표!$K$2:$K$101,MATCH(TRIM(B51&amp;""),코드표!$J$2:$J$101,0)),"⚠"&amp;TRIM(B51&amp;"")))</f>
        <v/>
      </c>
      <c r="S51" s="10">
        <f>IF(TRIM(K51&amp;"")="","",IFERROR(INDEX(코드표!$K$2:$K$101,MATCH(TRIM(K51&amp;""),코드표!$J$2:$J$101,0)),"⚠"&amp;TRIM(K51&amp;"")))</f>
        <v/>
      </c>
      <c r="T51" s="10">
        <f>IF(TRIM(M51&amp;"")="","",IF(ISNUMBER(MATCH(TRIM(M51&amp;""),코드표!$C$2:$C$11,0)),TRIM(M51&amp;""),"⚠"&amp;TRIM(M51&amp;"")))</f>
        <v/>
      </c>
      <c r="U51" s="10">
        <f>IF(TRIM(L51&amp;"")="","",IFERROR(INDEX(코드표!$G$2:$G$101,MATCH(TRIM(L51&amp;""),코드표!$F$2:$F$101,0)),"⚠"&amp;TRIM(L51&amp;"")))</f>
        <v/>
      </c>
      <c r="V51" s="10">
        <f>IF(AND(ISNUMBER(H51),ISNUMBER(I51)),I51-H51+1,"")</f>
        <v/>
      </c>
      <c r="W51" s="17">
        <f>IF(ISNUMBER(H51),MAX(0,MIN(IF(ISNUMBER(I51),I51,EOMONTH(요약!$B$3,0)),EOMONTH(요약!$B$3,0))-MAX(H51,요약!$B$3)+1),0)</f>
        <v/>
      </c>
      <c r="X51" s="10">
        <f>IF(OR(NOT(ISNUMBER(H51)),Q51=""),"",IF(TODAY()&lt;H51,"파견예정",IF(AND(ISNUMBER(I51),TODAY()&gt;I51),"파견종료","파견중")))</f>
        <v/>
      </c>
      <c r="Y51" s="10">
        <f>IF(OR(Q51="",X51=""),"",Q51&amp;"|"&amp;X51)</f>
        <v/>
      </c>
      <c r="Z51" s="10">
        <f>IF(AND(Q51&lt;&gt;"",W51&gt;0),Q51&amp;"|월","")</f>
        <v/>
      </c>
      <c r="AA51" s="10">
        <f>IF(COUNTA(B51:N51)=0,"",IF(Q51="","등록번호 없음",IF(LEFT(R51,1)="⚠","모병원명 미등록",IF(S51="","파견병원 입력",IF(LEFT(S51,1)="⚠","파견병원명 미등록",IF(LEFT(U51,1)="⚠","파견과목 미등록",IF(OR(T51="",LEFT(T51,1)="⚠"),"파견근거 확인",IF(NOT(AND(ISNUMBER(H51),ISNUMBER(I51))),"날짜 형식/누락",IF(I51&lt;H51,"종료일&lt;시작일","")))))))))</f>
        <v/>
      </c>
      <c r="AB51" s="11">
        <f>IF(ISNUMBER(SEARCH("다기관",TRIM(N51&amp;" "&amp;O51))),IFERROR(DATE(VALUE(MID(TRIM(N51&amp;" "&amp;O51),1,4)),VALUE(MID(TRIM(N51&amp;" "&amp;O51),6,2)),VALUE(MID(TRIM(N51&amp;" "&amp;O51),9,2))),IF(ISNUMBER(H51),H51,"")),"")</f>
        <v/>
      </c>
      <c r="AC51" s="11">
        <f>IF(ISNUMBER(SEARCH("다기관",TRIM(N51&amp;" "&amp;O51))),IFERROR(DATE(VALUE(MID(TRIM(N51&amp;" "&amp;O51),12,4)),VALUE(MID(TRIM(N51&amp;" "&amp;O51),17,2)),VALUE(MID(TRIM(N51&amp;" "&amp;O51),20,2))),IF(ISNUMBER(I51),I51,"")),"")</f>
        <v/>
      </c>
      <c r="AD51" s="17">
        <f>IF(AND(ISNUMBER(AB51),ISNUMBER(AC51)),MAX(0,MIN(AC51,EOMONTH(요약!$B$3,0))-MAX(AB51,요약!$B$3)+1),0)</f>
        <v/>
      </c>
      <c r="AE51" s="10">
        <f>IF(AND(Q51&lt;&gt;"",ISNUMBER(AB51)),Q51&amp;"|다기관","")</f>
        <v/>
      </c>
    </row>
    <row r="52">
      <c r="A52" s="15">
        <f>IF(F52="","",ROW()-3)</f>
        <v/>
      </c>
      <c r="B52" s="5" t="n"/>
      <c r="C52" s="15" t="n"/>
      <c r="D52" s="5" t="n"/>
      <c r="E52" s="15" t="n"/>
      <c r="F52" s="5" t="n"/>
      <c r="G52" s="6" t="n"/>
      <c r="H52" s="16" t="n"/>
      <c r="I52" s="16" t="n"/>
      <c r="J52" s="15">
        <f>IF(AND(ISNUMBER(H52),ISNUMBER(I52)),I52-H52+1,"")</f>
        <v/>
      </c>
      <c r="K52" s="5" t="n"/>
      <c r="L52" s="5" t="n"/>
      <c r="M52" s="5" t="n"/>
      <c r="N52" s="5" t="n"/>
      <c r="O52" s="5" t="n"/>
      <c r="Q52" s="10">
        <f>IF(TRIM(G52&amp;"")="","",TRIM(G52&amp;""))</f>
        <v/>
      </c>
      <c r="R52" s="10">
        <f>IF(TRIM(B52&amp;"")="","",IFERROR(INDEX(코드표!$K$2:$K$101,MATCH(TRIM(B52&amp;""),코드표!$J$2:$J$101,0)),"⚠"&amp;TRIM(B52&amp;"")))</f>
        <v/>
      </c>
      <c r="S52" s="10">
        <f>IF(TRIM(K52&amp;"")="","",IFERROR(INDEX(코드표!$K$2:$K$101,MATCH(TRIM(K52&amp;""),코드표!$J$2:$J$101,0)),"⚠"&amp;TRIM(K52&amp;"")))</f>
        <v/>
      </c>
      <c r="T52" s="10">
        <f>IF(TRIM(M52&amp;"")="","",IF(ISNUMBER(MATCH(TRIM(M52&amp;""),코드표!$C$2:$C$11,0)),TRIM(M52&amp;""),"⚠"&amp;TRIM(M52&amp;"")))</f>
        <v/>
      </c>
      <c r="U52" s="10">
        <f>IF(TRIM(L52&amp;"")="","",IFERROR(INDEX(코드표!$G$2:$G$101,MATCH(TRIM(L52&amp;""),코드표!$F$2:$F$101,0)),"⚠"&amp;TRIM(L52&amp;"")))</f>
        <v/>
      </c>
      <c r="V52" s="10">
        <f>IF(AND(ISNUMBER(H52),ISNUMBER(I52)),I52-H52+1,"")</f>
        <v/>
      </c>
      <c r="W52" s="17">
        <f>IF(ISNUMBER(H52),MAX(0,MIN(IF(ISNUMBER(I52),I52,EOMONTH(요약!$B$3,0)),EOMONTH(요약!$B$3,0))-MAX(H52,요약!$B$3)+1),0)</f>
        <v/>
      </c>
      <c r="X52" s="10">
        <f>IF(OR(NOT(ISNUMBER(H52)),Q52=""),"",IF(TODAY()&lt;H52,"파견예정",IF(AND(ISNUMBER(I52),TODAY()&gt;I52),"파견종료","파견중")))</f>
        <v/>
      </c>
      <c r="Y52" s="10">
        <f>IF(OR(Q52="",X52=""),"",Q52&amp;"|"&amp;X52)</f>
        <v/>
      </c>
      <c r="Z52" s="10">
        <f>IF(AND(Q52&lt;&gt;"",W52&gt;0),Q52&amp;"|월","")</f>
        <v/>
      </c>
      <c r="AA52" s="10">
        <f>IF(COUNTA(B52:N52)=0,"",IF(Q52="","등록번호 없음",IF(LEFT(R52,1)="⚠","모병원명 미등록",IF(S52="","파견병원 입력",IF(LEFT(S52,1)="⚠","파견병원명 미등록",IF(LEFT(U52,1)="⚠","파견과목 미등록",IF(OR(T52="",LEFT(T52,1)="⚠"),"파견근거 확인",IF(NOT(AND(ISNUMBER(H52),ISNUMBER(I52))),"날짜 형식/누락",IF(I52&lt;H52,"종료일&lt;시작일","")))))))))</f>
        <v/>
      </c>
      <c r="AB52" s="11">
        <f>IF(ISNUMBER(SEARCH("다기관",TRIM(N52&amp;" "&amp;O52))),IFERROR(DATE(VALUE(MID(TRIM(N52&amp;" "&amp;O52),1,4)),VALUE(MID(TRIM(N52&amp;" "&amp;O52),6,2)),VALUE(MID(TRIM(N52&amp;" "&amp;O52),9,2))),IF(ISNUMBER(H52),H52,"")),"")</f>
        <v/>
      </c>
      <c r="AC52" s="11">
        <f>IF(ISNUMBER(SEARCH("다기관",TRIM(N52&amp;" "&amp;O52))),IFERROR(DATE(VALUE(MID(TRIM(N52&amp;" "&amp;O52),12,4)),VALUE(MID(TRIM(N52&amp;" "&amp;O52),17,2)),VALUE(MID(TRIM(N52&amp;" "&amp;O52),20,2))),IF(ISNUMBER(I52),I52,"")),"")</f>
        <v/>
      </c>
      <c r="AD52" s="17">
        <f>IF(AND(ISNUMBER(AB52),ISNUMBER(AC52)),MAX(0,MIN(AC52,EOMONTH(요약!$B$3,0))-MAX(AB52,요약!$B$3)+1),0)</f>
        <v/>
      </c>
      <c r="AE52" s="10">
        <f>IF(AND(Q52&lt;&gt;"",ISNUMBER(AB52)),Q52&amp;"|다기관","")</f>
        <v/>
      </c>
    </row>
    <row r="53">
      <c r="A53" s="15">
        <f>IF(F53="","",ROW()-3)</f>
        <v/>
      </c>
      <c r="B53" s="5" t="n"/>
      <c r="C53" s="15" t="n"/>
      <c r="D53" s="5" t="n"/>
      <c r="E53" s="15" t="n"/>
      <c r="F53" s="5" t="n"/>
      <c r="G53" s="6" t="n"/>
      <c r="H53" s="16" t="n"/>
      <c r="I53" s="16" t="n"/>
      <c r="J53" s="15">
        <f>IF(AND(ISNUMBER(H53),ISNUMBER(I53)),I53-H53+1,"")</f>
        <v/>
      </c>
      <c r="K53" s="5" t="n"/>
      <c r="L53" s="5" t="n"/>
      <c r="M53" s="5" t="n"/>
      <c r="N53" s="5" t="n"/>
      <c r="O53" s="5" t="n"/>
      <c r="Q53" s="10">
        <f>IF(TRIM(G53&amp;"")="","",TRIM(G53&amp;""))</f>
        <v/>
      </c>
      <c r="R53" s="10">
        <f>IF(TRIM(B53&amp;"")="","",IFERROR(INDEX(코드표!$K$2:$K$101,MATCH(TRIM(B53&amp;""),코드표!$J$2:$J$101,0)),"⚠"&amp;TRIM(B53&amp;"")))</f>
        <v/>
      </c>
      <c r="S53" s="10">
        <f>IF(TRIM(K53&amp;"")="","",IFERROR(INDEX(코드표!$K$2:$K$101,MATCH(TRIM(K53&amp;""),코드표!$J$2:$J$101,0)),"⚠"&amp;TRIM(K53&amp;"")))</f>
        <v/>
      </c>
      <c r="T53" s="10">
        <f>IF(TRIM(M53&amp;"")="","",IF(ISNUMBER(MATCH(TRIM(M53&amp;""),코드표!$C$2:$C$11,0)),TRIM(M53&amp;""),"⚠"&amp;TRIM(M53&amp;"")))</f>
        <v/>
      </c>
      <c r="U53" s="10">
        <f>IF(TRIM(L53&amp;"")="","",IFERROR(INDEX(코드표!$G$2:$G$101,MATCH(TRIM(L53&amp;""),코드표!$F$2:$F$101,0)),"⚠"&amp;TRIM(L53&amp;"")))</f>
        <v/>
      </c>
      <c r="V53" s="10">
        <f>IF(AND(ISNUMBER(H53),ISNUMBER(I53)),I53-H53+1,"")</f>
        <v/>
      </c>
      <c r="W53" s="17">
        <f>IF(ISNUMBER(H53),MAX(0,MIN(IF(ISNUMBER(I53),I53,EOMONTH(요약!$B$3,0)),EOMONTH(요약!$B$3,0))-MAX(H53,요약!$B$3)+1),0)</f>
        <v/>
      </c>
      <c r="X53" s="10">
        <f>IF(OR(NOT(ISNUMBER(H53)),Q53=""),"",IF(TODAY()&lt;H53,"파견예정",IF(AND(ISNUMBER(I53),TODAY()&gt;I53),"파견종료","파견중")))</f>
        <v/>
      </c>
      <c r="Y53" s="10">
        <f>IF(OR(Q53="",X53=""),"",Q53&amp;"|"&amp;X53)</f>
        <v/>
      </c>
      <c r="Z53" s="10">
        <f>IF(AND(Q53&lt;&gt;"",W53&gt;0),Q53&amp;"|월","")</f>
        <v/>
      </c>
      <c r="AA53" s="10">
        <f>IF(COUNTA(B53:N53)=0,"",IF(Q53="","등록번호 없음",IF(LEFT(R53,1)="⚠","모병원명 미등록",IF(S53="","파견병원 입력",IF(LEFT(S53,1)="⚠","파견병원명 미등록",IF(LEFT(U53,1)="⚠","파견과목 미등록",IF(OR(T53="",LEFT(T53,1)="⚠"),"파견근거 확인",IF(NOT(AND(ISNUMBER(H53),ISNUMBER(I53))),"날짜 형식/누락",IF(I53&lt;H53,"종료일&lt;시작일","")))))))))</f>
        <v/>
      </c>
      <c r="AB53" s="11">
        <f>IF(ISNUMBER(SEARCH("다기관",TRIM(N53&amp;" "&amp;O53))),IFERROR(DATE(VALUE(MID(TRIM(N53&amp;" "&amp;O53),1,4)),VALUE(MID(TRIM(N53&amp;" "&amp;O53),6,2)),VALUE(MID(TRIM(N53&amp;" "&amp;O53),9,2))),IF(ISNUMBER(H53),H53,"")),"")</f>
        <v/>
      </c>
      <c r="AC53" s="11">
        <f>IF(ISNUMBER(SEARCH("다기관",TRIM(N53&amp;" "&amp;O53))),IFERROR(DATE(VALUE(MID(TRIM(N53&amp;" "&amp;O53),12,4)),VALUE(MID(TRIM(N53&amp;" "&amp;O53),17,2)),VALUE(MID(TRIM(N53&amp;" "&amp;O53),20,2))),IF(ISNUMBER(I53),I53,"")),"")</f>
        <v/>
      </c>
      <c r="AD53" s="17">
        <f>IF(AND(ISNUMBER(AB53),ISNUMBER(AC53)),MAX(0,MIN(AC53,EOMONTH(요약!$B$3,0))-MAX(AB53,요약!$B$3)+1),0)</f>
        <v/>
      </c>
      <c r="AE53" s="10">
        <f>IF(AND(Q53&lt;&gt;"",ISNUMBER(AB53)),Q53&amp;"|다기관","")</f>
        <v/>
      </c>
    </row>
    <row r="54">
      <c r="A54" s="15">
        <f>IF(F54="","",ROW()-3)</f>
        <v/>
      </c>
      <c r="B54" s="5" t="n"/>
      <c r="C54" s="15" t="n"/>
      <c r="D54" s="5" t="n"/>
      <c r="E54" s="15" t="n"/>
      <c r="F54" s="5" t="n"/>
      <c r="G54" s="6" t="n"/>
      <c r="H54" s="16" t="n"/>
      <c r="I54" s="16" t="n"/>
      <c r="J54" s="15">
        <f>IF(AND(ISNUMBER(H54),ISNUMBER(I54)),I54-H54+1,"")</f>
        <v/>
      </c>
      <c r="K54" s="5" t="n"/>
      <c r="L54" s="5" t="n"/>
      <c r="M54" s="5" t="n"/>
      <c r="N54" s="5" t="n"/>
      <c r="O54" s="5" t="n"/>
      <c r="Q54" s="10">
        <f>IF(TRIM(G54&amp;"")="","",TRIM(G54&amp;""))</f>
        <v/>
      </c>
      <c r="R54" s="10">
        <f>IF(TRIM(B54&amp;"")="","",IFERROR(INDEX(코드표!$K$2:$K$101,MATCH(TRIM(B54&amp;""),코드표!$J$2:$J$101,0)),"⚠"&amp;TRIM(B54&amp;"")))</f>
        <v/>
      </c>
      <c r="S54" s="10">
        <f>IF(TRIM(K54&amp;"")="","",IFERROR(INDEX(코드표!$K$2:$K$101,MATCH(TRIM(K54&amp;""),코드표!$J$2:$J$101,0)),"⚠"&amp;TRIM(K54&amp;"")))</f>
        <v/>
      </c>
      <c r="T54" s="10">
        <f>IF(TRIM(M54&amp;"")="","",IF(ISNUMBER(MATCH(TRIM(M54&amp;""),코드표!$C$2:$C$11,0)),TRIM(M54&amp;""),"⚠"&amp;TRIM(M54&amp;"")))</f>
        <v/>
      </c>
      <c r="U54" s="10">
        <f>IF(TRIM(L54&amp;"")="","",IFERROR(INDEX(코드표!$G$2:$G$101,MATCH(TRIM(L54&amp;""),코드표!$F$2:$F$101,0)),"⚠"&amp;TRIM(L54&amp;"")))</f>
        <v/>
      </c>
      <c r="V54" s="10">
        <f>IF(AND(ISNUMBER(H54),ISNUMBER(I54)),I54-H54+1,"")</f>
        <v/>
      </c>
      <c r="W54" s="17">
        <f>IF(ISNUMBER(H54),MAX(0,MIN(IF(ISNUMBER(I54),I54,EOMONTH(요약!$B$3,0)),EOMONTH(요약!$B$3,0))-MAX(H54,요약!$B$3)+1),0)</f>
        <v/>
      </c>
      <c r="X54" s="10">
        <f>IF(OR(NOT(ISNUMBER(H54)),Q54=""),"",IF(TODAY()&lt;H54,"파견예정",IF(AND(ISNUMBER(I54),TODAY()&gt;I54),"파견종료","파견중")))</f>
        <v/>
      </c>
      <c r="Y54" s="10">
        <f>IF(OR(Q54="",X54=""),"",Q54&amp;"|"&amp;X54)</f>
        <v/>
      </c>
      <c r="Z54" s="10">
        <f>IF(AND(Q54&lt;&gt;"",W54&gt;0),Q54&amp;"|월","")</f>
        <v/>
      </c>
      <c r="AA54" s="10">
        <f>IF(COUNTA(B54:N54)=0,"",IF(Q54="","등록번호 없음",IF(LEFT(R54,1)="⚠","모병원명 미등록",IF(S54="","파견병원 입력",IF(LEFT(S54,1)="⚠","파견병원명 미등록",IF(LEFT(U54,1)="⚠","파견과목 미등록",IF(OR(T54="",LEFT(T54,1)="⚠"),"파견근거 확인",IF(NOT(AND(ISNUMBER(H54),ISNUMBER(I54))),"날짜 형식/누락",IF(I54&lt;H54,"종료일&lt;시작일","")))))))))</f>
        <v/>
      </c>
      <c r="AB54" s="11">
        <f>IF(ISNUMBER(SEARCH("다기관",TRIM(N54&amp;" "&amp;O54))),IFERROR(DATE(VALUE(MID(TRIM(N54&amp;" "&amp;O54),1,4)),VALUE(MID(TRIM(N54&amp;" "&amp;O54),6,2)),VALUE(MID(TRIM(N54&amp;" "&amp;O54),9,2))),IF(ISNUMBER(H54),H54,"")),"")</f>
        <v/>
      </c>
      <c r="AC54" s="11">
        <f>IF(ISNUMBER(SEARCH("다기관",TRIM(N54&amp;" "&amp;O54))),IFERROR(DATE(VALUE(MID(TRIM(N54&amp;" "&amp;O54),12,4)),VALUE(MID(TRIM(N54&amp;" "&amp;O54),17,2)),VALUE(MID(TRIM(N54&amp;" "&amp;O54),20,2))),IF(ISNUMBER(I54),I54,"")),"")</f>
        <v/>
      </c>
      <c r="AD54" s="17">
        <f>IF(AND(ISNUMBER(AB54),ISNUMBER(AC54)),MAX(0,MIN(AC54,EOMONTH(요약!$B$3,0))-MAX(AB54,요약!$B$3)+1),0)</f>
        <v/>
      </c>
      <c r="AE54" s="10">
        <f>IF(AND(Q54&lt;&gt;"",ISNUMBER(AB54)),Q54&amp;"|다기관","")</f>
        <v/>
      </c>
    </row>
    <row r="55">
      <c r="A55" s="15">
        <f>IF(F55="","",ROW()-3)</f>
        <v/>
      </c>
      <c r="B55" s="5" t="n"/>
      <c r="C55" s="15" t="n"/>
      <c r="D55" s="5" t="n"/>
      <c r="E55" s="15" t="n"/>
      <c r="F55" s="5" t="n"/>
      <c r="G55" s="6" t="n"/>
      <c r="H55" s="16" t="n"/>
      <c r="I55" s="16" t="n"/>
      <c r="J55" s="15">
        <f>IF(AND(ISNUMBER(H55),ISNUMBER(I55)),I55-H55+1,"")</f>
        <v/>
      </c>
      <c r="K55" s="5" t="n"/>
      <c r="L55" s="5" t="n"/>
      <c r="M55" s="5" t="n"/>
      <c r="N55" s="5" t="n"/>
      <c r="O55" s="5" t="n"/>
      <c r="Q55" s="10">
        <f>IF(TRIM(G55&amp;"")="","",TRIM(G55&amp;""))</f>
        <v/>
      </c>
      <c r="R55" s="10">
        <f>IF(TRIM(B55&amp;"")="","",IFERROR(INDEX(코드표!$K$2:$K$101,MATCH(TRIM(B55&amp;""),코드표!$J$2:$J$101,0)),"⚠"&amp;TRIM(B55&amp;"")))</f>
        <v/>
      </c>
      <c r="S55" s="10">
        <f>IF(TRIM(K55&amp;"")="","",IFERROR(INDEX(코드표!$K$2:$K$101,MATCH(TRIM(K55&amp;""),코드표!$J$2:$J$101,0)),"⚠"&amp;TRIM(K55&amp;"")))</f>
        <v/>
      </c>
      <c r="T55" s="10">
        <f>IF(TRIM(M55&amp;"")="","",IF(ISNUMBER(MATCH(TRIM(M55&amp;""),코드표!$C$2:$C$11,0)),TRIM(M55&amp;""),"⚠"&amp;TRIM(M55&amp;"")))</f>
        <v/>
      </c>
      <c r="U55" s="10">
        <f>IF(TRIM(L55&amp;"")="","",IFERROR(INDEX(코드표!$G$2:$G$101,MATCH(TRIM(L55&amp;""),코드표!$F$2:$F$101,0)),"⚠"&amp;TRIM(L55&amp;"")))</f>
        <v/>
      </c>
      <c r="V55" s="10">
        <f>IF(AND(ISNUMBER(H55),ISNUMBER(I55)),I55-H55+1,"")</f>
        <v/>
      </c>
      <c r="W55" s="17">
        <f>IF(ISNUMBER(H55),MAX(0,MIN(IF(ISNUMBER(I55),I55,EOMONTH(요약!$B$3,0)),EOMONTH(요약!$B$3,0))-MAX(H55,요약!$B$3)+1),0)</f>
        <v/>
      </c>
      <c r="X55" s="10">
        <f>IF(OR(NOT(ISNUMBER(H55)),Q55=""),"",IF(TODAY()&lt;H55,"파견예정",IF(AND(ISNUMBER(I55),TODAY()&gt;I55),"파견종료","파견중")))</f>
        <v/>
      </c>
      <c r="Y55" s="10">
        <f>IF(OR(Q55="",X55=""),"",Q55&amp;"|"&amp;X55)</f>
        <v/>
      </c>
      <c r="Z55" s="10">
        <f>IF(AND(Q55&lt;&gt;"",W55&gt;0),Q55&amp;"|월","")</f>
        <v/>
      </c>
      <c r="AA55" s="10">
        <f>IF(COUNTA(B55:N55)=0,"",IF(Q55="","등록번호 없음",IF(LEFT(R55,1)="⚠","모병원명 미등록",IF(S55="","파견병원 입력",IF(LEFT(S55,1)="⚠","파견병원명 미등록",IF(LEFT(U55,1)="⚠","파견과목 미등록",IF(OR(T55="",LEFT(T55,1)="⚠"),"파견근거 확인",IF(NOT(AND(ISNUMBER(H55),ISNUMBER(I55))),"날짜 형식/누락",IF(I55&lt;H55,"종료일&lt;시작일","")))))))))</f>
        <v/>
      </c>
      <c r="AB55" s="11">
        <f>IF(ISNUMBER(SEARCH("다기관",TRIM(N55&amp;" "&amp;O55))),IFERROR(DATE(VALUE(MID(TRIM(N55&amp;" "&amp;O55),1,4)),VALUE(MID(TRIM(N55&amp;" "&amp;O55),6,2)),VALUE(MID(TRIM(N55&amp;" "&amp;O55),9,2))),IF(ISNUMBER(H55),H55,"")),"")</f>
        <v/>
      </c>
      <c r="AC55" s="11">
        <f>IF(ISNUMBER(SEARCH("다기관",TRIM(N55&amp;" "&amp;O55))),IFERROR(DATE(VALUE(MID(TRIM(N55&amp;" "&amp;O55),12,4)),VALUE(MID(TRIM(N55&amp;" "&amp;O55),17,2)),VALUE(MID(TRIM(N55&amp;" "&amp;O55),20,2))),IF(ISNUMBER(I55),I55,"")),"")</f>
        <v/>
      </c>
      <c r="AD55" s="17">
        <f>IF(AND(ISNUMBER(AB55),ISNUMBER(AC55)),MAX(0,MIN(AC55,EOMONTH(요약!$B$3,0))-MAX(AB55,요약!$B$3)+1),0)</f>
        <v/>
      </c>
      <c r="AE55" s="10">
        <f>IF(AND(Q55&lt;&gt;"",ISNUMBER(AB55)),Q55&amp;"|다기관","")</f>
        <v/>
      </c>
    </row>
    <row r="56">
      <c r="A56" s="15">
        <f>IF(F56="","",ROW()-3)</f>
        <v/>
      </c>
      <c r="B56" s="5" t="n"/>
      <c r="C56" s="15" t="n"/>
      <c r="D56" s="5" t="n"/>
      <c r="E56" s="15" t="n"/>
      <c r="F56" s="5" t="n"/>
      <c r="G56" s="6" t="n"/>
      <c r="H56" s="16" t="n"/>
      <c r="I56" s="16" t="n"/>
      <c r="J56" s="15">
        <f>IF(AND(ISNUMBER(H56),ISNUMBER(I56)),I56-H56+1,"")</f>
        <v/>
      </c>
      <c r="K56" s="5" t="n"/>
      <c r="L56" s="5" t="n"/>
      <c r="M56" s="5" t="n"/>
      <c r="N56" s="5" t="n"/>
      <c r="O56" s="5" t="n"/>
      <c r="Q56" s="10">
        <f>IF(TRIM(G56&amp;"")="","",TRIM(G56&amp;""))</f>
        <v/>
      </c>
      <c r="R56" s="10">
        <f>IF(TRIM(B56&amp;"")="","",IFERROR(INDEX(코드표!$K$2:$K$101,MATCH(TRIM(B56&amp;""),코드표!$J$2:$J$101,0)),"⚠"&amp;TRIM(B56&amp;"")))</f>
        <v/>
      </c>
      <c r="S56" s="10">
        <f>IF(TRIM(K56&amp;"")="","",IFERROR(INDEX(코드표!$K$2:$K$101,MATCH(TRIM(K56&amp;""),코드표!$J$2:$J$101,0)),"⚠"&amp;TRIM(K56&amp;"")))</f>
        <v/>
      </c>
      <c r="T56" s="10">
        <f>IF(TRIM(M56&amp;"")="","",IF(ISNUMBER(MATCH(TRIM(M56&amp;""),코드표!$C$2:$C$11,0)),TRIM(M56&amp;""),"⚠"&amp;TRIM(M56&amp;"")))</f>
        <v/>
      </c>
      <c r="U56" s="10">
        <f>IF(TRIM(L56&amp;"")="","",IFERROR(INDEX(코드표!$G$2:$G$101,MATCH(TRIM(L56&amp;""),코드표!$F$2:$F$101,0)),"⚠"&amp;TRIM(L56&amp;"")))</f>
        <v/>
      </c>
      <c r="V56" s="10">
        <f>IF(AND(ISNUMBER(H56),ISNUMBER(I56)),I56-H56+1,"")</f>
        <v/>
      </c>
      <c r="W56" s="17">
        <f>IF(ISNUMBER(H56),MAX(0,MIN(IF(ISNUMBER(I56),I56,EOMONTH(요약!$B$3,0)),EOMONTH(요약!$B$3,0))-MAX(H56,요약!$B$3)+1),0)</f>
        <v/>
      </c>
      <c r="X56" s="10">
        <f>IF(OR(NOT(ISNUMBER(H56)),Q56=""),"",IF(TODAY()&lt;H56,"파견예정",IF(AND(ISNUMBER(I56),TODAY()&gt;I56),"파견종료","파견중")))</f>
        <v/>
      </c>
      <c r="Y56" s="10">
        <f>IF(OR(Q56="",X56=""),"",Q56&amp;"|"&amp;X56)</f>
        <v/>
      </c>
      <c r="Z56" s="10">
        <f>IF(AND(Q56&lt;&gt;"",W56&gt;0),Q56&amp;"|월","")</f>
        <v/>
      </c>
      <c r="AA56" s="10">
        <f>IF(COUNTA(B56:N56)=0,"",IF(Q56="","등록번호 없음",IF(LEFT(R56,1)="⚠","모병원명 미등록",IF(S56="","파견병원 입력",IF(LEFT(S56,1)="⚠","파견병원명 미등록",IF(LEFT(U56,1)="⚠","파견과목 미등록",IF(OR(T56="",LEFT(T56,1)="⚠"),"파견근거 확인",IF(NOT(AND(ISNUMBER(H56),ISNUMBER(I56))),"날짜 형식/누락",IF(I56&lt;H56,"종료일&lt;시작일","")))))))))</f>
        <v/>
      </c>
      <c r="AB56" s="11">
        <f>IF(ISNUMBER(SEARCH("다기관",TRIM(N56&amp;" "&amp;O56))),IFERROR(DATE(VALUE(MID(TRIM(N56&amp;" "&amp;O56),1,4)),VALUE(MID(TRIM(N56&amp;" "&amp;O56),6,2)),VALUE(MID(TRIM(N56&amp;" "&amp;O56),9,2))),IF(ISNUMBER(H56),H56,"")),"")</f>
        <v/>
      </c>
      <c r="AC56" s="11">
        <f>IF(ISNUMBER(SEARCH("다기관",TRIM(N56&amp;" "&amp;O56))),IFERROR(DATE(VALUE(MID(TRIM(N56&amp;" "&amp;O56),12,4)),VALUE(MID(TRIM(N56&amp;" "&amp;O56),17,2)),VALUE(MID(TRIM(N56&amp;" "&amp;O56),20,2))),IF(ISNUMBER(I56),I56,"")),"")</f>
        <v/>
      </c>
      <c r="AD56" s="17">
        <f>IF(AND(ISNUMBER(AB56),ISNUMBER(AC56)),MAX(0,MIN(AC56,EOMONTH(요약!$B$3,0))-MAX(AB56,요약!$B$3)+1),0)</f>
        <v/>
      </c>
      <c r="AE56" s="10">
        <f>IF(AND(Q56&lt;&gt;"",ISNUMBER(AB56)),Q56&amp;"|다기관","")</f>
        <v/>
      </c>
    </row>
    <row r="57">
      <c r="A57" s="15">
        <f>IF(F57="","",ROW()-3)</f>
        <v/>
      </c>
      <c r="B57" s="5" t="n"/>
      <c r="C57" s="15" t="n"/>
      <c r="D57" s="5" t="n"/>
      <c r="E57" s="15" t="n"/>
      <c r="F57" s="5" t="n"/>
      <c r="G57" s="6" t="n"/>
      <c r="H57" s="16" t="n"/>
      <c r="I57" s="16" t="n"/>
      <c r="J57" s="15">
        <f>IF(AND(ISNUMBER(H57),ISNUMBER(I57)),I57-H57+1,"")</f>
        <v/>
      </c>
      <c r="K57" s="5" t="n"/>
      <c r="L57" s="5" t="n"/>
      <c r="M57" s="5" t="n"/>
      <c r="N57" s="5" t="n"/>
      <c r="O57" s="5" t="n"/>
      <c r="Q57" s="10">
        <f>IF(TRIM(G57&amp;"")="","",TRIM(G57&amp;""))</f>
        <v/>
      </c>
      <c r="R57" s="10">
        <f>IF(TRIM(B57&amp;"")="","",IFERROR(INDEX(코드표!$K$2:$K$101,MATCH(TRIM(B57&amp;""),코드표!$J$2:$J$101,0)),"⚠"&amp;TRIM(B57&amp;"")))</f>
        <v/>
      </c>
      <c r="S57" s="10">
        <f>IF(TRIM(K57&amp;"")="","",IFERROR(INDEX(코드표!$K$2:$K$101,MATCH(TRIM(K57&amp;""),코드표!$J$2:$J$101,0)),"⚠"&amp;TRIM(K57&amp;"")))</f>
        <v/>
      </c>
      <c r="T57" s="10">
        <f>IF(TRIM(M57&amp;"")="","",IF(ISNUMBER(MATCH(TRIM(M57&amp;""),코드표!$C$2:$C$11,0)),TRIM(M57&amp;""),"⚠"&amp;TRIM(M57&amp;"")))</f>
        <v/>
      </c>
      <c r="U57" s="10">
        <f>IF(TRIM(L57&amp;"")="","",IFERROR(INDEX(코드표!$G$2:$G$101,MATCH(TRIM(L57&amp;""),코드표!$F$2:$F$101,0)),"⚠"&amp;TRIM(L57&amp;"")))</f>
        <v/>
      </c>
      <c r="V57" s="10">
        <f>IF(AND(ISNUMBER(H57),ISNUMBER(I57)),I57-H57+1,"")</f>
        <v/>
      </c>
      <c r="W57" s="17">
        <f>IF(ISNUMBER(H57),MAX(0,MIN(IF(ISNUMBER(I57),I57,EOMONTH(요약!$B$3,0)),EOMONTH(요약!$B$3,0))-MAX(H57,요약!$B$3)+1),0)</f>
        <v/>
      </c>
      <c r="X57" s="10">
        <f>IF(OR(NOT(ISNUMBER(H57)),Q57=""),"",IF(TODAY()&lt;H57,"파견예정",IF(AND(ISNUMBER(I57),TODAY()&gt;I57),"파견종료","파견중")))</f>
        <v/>
      </c>
      <c r="Y57" s="10">
        <f>IF(OR(Q57="",X57=""),"",Q57&amp;"|"&amp;X57)</f>
        <v/>
      </c>
      <c r="Z57" s="10">
        <f>IF(AND(Q57&lt;&gt;"",W57&gt;0),Q57&amp;"|월","")</f>
        <v/>
      </c>
      <c r="AA57" s="10">
        <f>IF(COUNTA(B57:N57)=0,"",IF(Q57="","등록번호 없음",IF(LEFT(R57,1)="⚠","모병원명 미등록",IF(S57="","파견병원 입력",IF(LEFT(S57,1)="⚠","파견병원명 미등록",IF(LEFT(U57,1)="⚠","파견과목 미등록",IF(OR(T57="",LEFT(T57,1)="⚠"),"파견근거 확인",IF(NOT(AND(ISNUMBER(H57),ISNUMBER(I57))),"날짜 형식/누락",IF(I57&lt;H57,"종료일&lt;시작일","")))))))))</f>
        <v/>
      </c>
      <c r="AB57" s="11">
        <f>IF(ISNUMBER(SEARCH("다기관",TRIM(N57&amp;" "&amp;O57))),IFERROR(DATE(VALUE(MID(TRIM(N57&amp;" "&amp;O57),1,4)),VALUE(MID(TRIM(N57&amp;" "&amp;O57),6,2)),VALUE(MID(TRIM(N57&amp;" "&amp;O57),9,2))),IF(ISNUMBER(H57),H57,"")),"")</f>
        <v/>
      </c>
      <c r="AC57" s="11">
        <f>IF(ISNUMBER(SEARCH("다기관",TRIM(N57&amp;" "&amp;O57))),IFERROR(DATE(VALUE(MID(TRIM(N57&amp;" "&amp;O57),12,4)),VALUE(MID(TRIM(N57&amp;" "&amp;O57),17,2)),VALUE(MID(TRIM(N57&amp;" "&amp;O57),20,2))),IF(ISNUMBER(I57),I57,"")),"")</f>
        <v/>
      </c>
      <c r="AD57" s="17">
        <f>IF(AND(ISNUMBER(AB57),ISNUMBER(AC57)),MAX(0,MIN(AC57,EOMONTH(요약!$B$3,0))-MAX(AB57,요약!$B$3)+1),0)</f>
        <v/>
      </c>
      <c r="AE57" s="10">
        <f>IF(AND(Q57&lt;&gt;"",ISNUMBER(AB57)),Q57&amp;"|다기관","")</f>
        <v/>
      </c>
    </row>
    <row r="58">
      <c r="A58" s="15">
        <f>IF(F58="","",ROW()-3)</f>
        <v/>
      </c>
      <c r="B58" s="5" t="n"/>
      <c r="C58" s="15" t="n"/>
      <c r="D58" s="5" t="n"/>
      <c r="E58" s="15" t="n"/>
      <c r="F58" s="5" t="n"/>
      <c r="G58" s="6" t="n"/>
      <c r="H58" s="16" t="n"/>
      <c r="I58" s="16" t="n"/>
      <c r="J58" s="15">
        <f>IF(AND(ISNUMBER(H58),ISNUMBER(I58)),I58-H58+1,"")</f>
        <v/>
      </c>
      <c r="K58" s="5" t="n"/>
      <c r="L58" s="5" t="n"/>
      <c r="M58" s="5" t="n"/>
      <c r="N58" s="5" t="n"/>
      <c r="O58" s="5" t="n"/>
      <c r="Q58" s="10">
        <f>IF(TRIM(G58&amp;"")="","",TRIM(G58&amp;""))</f>
        <v/>
      </c>
      <c r="R58" s="10">
        <f>IF(TRIM(B58&amp;"")="","",IFERROR(INDEX(코드표!$K$2:$K$101,MATCH(TRIM(B58&amp;""),코드표!$J$2:$J$101,0)),"⚠"&amp;TRIM(B58&amp;"")))</f>
        <v/>
      </c>
      <c r="S58" s="10">
        <f>IF(TRIM(K58&amp;"")="","",IFERROR(INDEX(코드표!$K$2:$K$101,MATCH(TRIM(K58&amp;""),코드표!$J$2:$J$101,0)),"⚠"&amp;TRIM(K58&amp;"")))</f>
        <v/>
      </c>
      <c r="T58" s="10">
        <f>IF(TRIM(M58&amp;"")="","",IF(ISNUMBER(MATCH(TRIM(M58&amp;""),코드표!$C$2:$C$11,0)),TRIM(M58&amp;""),"⚠"&amp;TRIM(M58&amp;"")))</f>
        <v/>
      </c>
      <c r="U58" s="10">
        <f>IF(TRIM(L58&amp;"")="","",IFERROR(INDEX(코드표!$G$2:$G$101,MATCH(TRIM(L58&amp;""),코드표!$F$2:$F$101,0)),"⚠"&amp;TRIM(L58&amp;"")))</f>
        <v/>
      </c>
      <c r="V58" s="10">
        <f>IF(AND(ISNUMBER(H58),ISNUMBER(I58)),I58-H58+1,"")</f>
        <v/>
      </c>
      <c r="W58" s="17">
        <f>IF(ISNUMBER(H58),MAX(0,MIN(IF(ISNUMBER(I58),I58,EOMONTH(요약!$B$3,0)),EOMONTH(요약!$B$3,0))-MAX(H58,요약!$B$3)+1),0)</f>
        <v/>
      </c>
      <c r="X58" s="10">
        <f>IF(OR(NOT(ISNUMBER(H58)),Q58=""),"",IF(TODAY()&lt;H58,"파견예정",IF(AND(ISNUMBER(I58),TODAY()&gt;I58),"파견종료","파견중")))</f>
        <v/>
      </c>
      <c r="Y58" s="10">
        <f>IF(OR(Q58="",X58=""),"",Q58&amp;"|"&amp;X58)</f>
        <v/>
      </c>
      <c r="Z58" s="10">
        <f>IF(AND(Q58&lt;&gt;"",W58&gt;0),Q58&amp;"|월","")</f>
        <v/>
      </c>
      <c r="AA58" s="10">
        <f>IF(COUNTA(B58:N58)=0,"",IF(Q58="","등록번호 없음",IF(LEFT(R58,1)="⚠","모병원명 미등록",IF(S58="","파견병원 입력",IF(LEFT(S58,1)="⚠","파견병원명 미등록",IF(LEFT(U58,1)="⚠","파견과목 미등록",IF(OR(T58="",LEFT(T58,1)="⚠"),"파견근거 확인",IF(NOT(AND(ISNUMBER(H58),ISNUMBER(I58))),"날짜 형식/누락",IF(I58&lt;H58,"종료일&lt;시작일","")))))))))</f>
        <v/>
      </c>
      <c r="AB58" s="11">
        <f>IF(ISNUMBER(SEARCH("다기관",TRIM(N58&amp;" "&amp;O58))),IFERROR(DATE(VALUE(MID(TRIM(N58&amp;" "&amp;O58),1,4)),VALUE(MID(TRIM(N58&amp;" "&amp;O58),6,2)),VALUE(MID(TRIM(N58&amp;" "&amp;O58),9,2))),IF(ISNUMBER(H58),H58,"")),"")</f>
        <v/>
      </c>
      <c r="AC58" s="11">
        <f>IF(ISNUMBER(SEARCH("다기관",TRIM(N58&amp;" "&amp;O58))),IFERROR(DATE(VALUE(MID(TRIM(N58&amp;" "&amp;O58),12,4)),VALUE(MID(TRIM(N58&amp;" "&amp;O58),17,2)),VALUE(MID(TRIM(N58&amp;" "&amp;O58),20,2))),IF(ISNUMBER(I58),I58,"")),"")</f>
        <v/>
      </c>
      <c r="AD58" s="17">
        <f>IF(AND(ISNUMBER(AB58),ISNUMBER(AC58)),MAX(0,MIN(AC58,EOMONTH(요약!$B$3,0))-MAX(AB58,요약!$B$3)+1),0)</f>
        <v/>
      </c>
      <c r="AE58" s="10">
        <f>IF(AND(Q58&lt;&gt;"",ISNUMBER(AB58)),Q58&amp;"|다기관","")</f>
        <v/>
      </c>
    </row>
    <row r="59">
      <c r="A59" s="15">
        <f>IF(F59="","",ROW()-3)</f>
        <v/>
      </c>
      <c r="B59" s="5" t="n"/>
      <c r="C59" s="15" t="n"/>
      <c r="D59" s="5" t="n"/>
      <c r="E59" s="15" t="n"/>
      <c r="F59" s="5" t="n"/>
      <c r="G59" s="6" t="n"/>
      <c r="H59" s="16" t="n"/>
      <c r="I59" s="16" t="n"/>
      <c r="J59" s="15">
        <f>IF(AND(ISNUMBER(H59),ISNUMBER(I59)),I59-H59+1,"")</f>
        <v/>
      </c>
      <c r="K59" s="5" t="n"/>
      <c r="L59" s="5" t="n"/>
      <c r="M59" s="5" t="n"/>
      <c r="N59" s="5" t="n"/>
      <c r="O59" s="5" t="n"/>
      <c r="Q59" s="10">
        <f>IF(TRIM(G59&amp;"")="","",TRIM(G59&amp;""))</f>
        <v/>
      </c>
      <c r="R59" s="10">
        <f>IF(TRIM(B59&amp;"")="","",IFERROR(INDEX(코드표!$K$2:$K$101,MATCH(TRIM(B59&amp;""),코드표!$J$2:$J$101,0)),"⚠"&amp;TRIM(B59&amp;"")))</f>
        <v/>
      </c>
      <c r="S59" s="10">
        <f>IF(TRIM(K59&amp;"")="","",IFERROR(INDEX(코드표!$K$2:$K$101,MATCH(TRIM(K59&amp;""),코드표!$J$2:$J$101,0)),"⚠"&amp;TRIM(K59&amp;"")))</f>
        <v/>
      </c>
      <c r="T59" s="10">
        <f>IF(TRIM(M59&amp;"")="","",IF(ISNUMBER(MATCH(TRIM(M59&amp;""),코드표!$C$2:$C$11,0)),TRIM(M59&amp;""),"⚠"&amp;TRIM(M59&amp;"")))</f>
        <v/>
      </c>
      <c r="U59" s="10">
        <f>IF(TRIM(L59&amp;"")="","",IFERROR(INDEX(코드표!$G$2:$G$101,MATCH(TRIM(L59&amp;""),코드표!$F$2:$F$101,0)),"⚠"&amp;TRIM(L59&amp;"")))</f>
        <v/>
      </c>
      <c r="V59" s="10">
        <f>IF(AND(ISNUMBER(H59),ISNUMBER(I59)),I59-H59+1,"")</f>
        <v/>
      </c>
      <c r="W59" s="17">
        <f>IF(ISNUMBER(H59),MAX(0,MIN(IF(ISNUMBER(I59),I59,EOMONTH(요약!$B$3,0)),EOMONTH(요약!$B$3,0))-MAX(H59,요약!$B$3)+1),0)</f>
        <v/>
      </c>
      <c r="X59" s="10">
        <f>IF(OR(NOT(ISNUMBER(H59)),Q59=""),"",IF(TODAY()&lt;H59,"파견예정",IF(AND(ISNUMBER(I59),TODAY()&gt;I59),"파견종료","파견중")))</f>
        <v/>
      </c>
      <c r="Y59" s="10">
        <f>IF(OR(Q59="",X59=""),"",Q59&amp;"|"&amp;X59)</f>
        <v/>
      </c>
      <c r="Z59" s="10">
        <f>IF(AND(Q59&lt;&gt;"",W59&gt;0),Q59&amp;"|월","")</f>
        <v/>
      </c>
      <c r="AA59" s="10">
        <f>IF(COUNTA(B59:N59)=0,"",IF(Q59="","등록번호 없음",IF(LEFT(R59,1)="⚠","모병원명 미등록",IF(S59="","파견병원 입력",IF(LEFT(S59,1)="⚠","파견병원명 미등록",IF(LEFT(U59,1)="⚠","파견과목 미등록",IF(OR(T59="",LEFT(T59,1)="⚠"),"파견근거 확인",IF(NOT(AND(ISNUMBER(H59),ISNUMBER(I59))),"날짜 형식/누락",IF(I59&lt;H59,"종료일&lt;시작일","")))))))))</f>
        <v/>
      </c>
      <c r="AB59" s="11">
        <f>IF(ISNUMBER(SEARCH("다기관",TRIM(N59&amp;" "&amp;O59))),IFERROR(DATE(VALUE(MID(TRIM(N59&amp;" "&amp;O59),1,4)),VALUE(MID(TRIM(N59&amp;" "&amp;O59),6,2)),VALUE(MID(TRIM(N59&amp;" "&amp;O59),9,2))),IF(ISNUMBER(H59),H59,"")),"")</f>
        <v/>
      </c>
      <c r="AC59" s="11">
        <f>IF(ISNUMBER(SEARCH("다기관",TRIM(N59&amp;" "&amp;O59))),IFERROR(DATE(VALUE(MID(TRIM(N59&amp;" "&amp;O59),12,4)),VALUE(MID(TRIM(N59&amp;" "&amp;O59),17,2)),VALUE(MID(TRIM(N59&amp;" "&amp;O59),20,2))),IF(ISNUMBER(I59),I59,"")),"")</f>
        <v/>
      </c>
      <c r="AD59" s="17">
        <f>IF(AND(ISNUMBER(AB59),ISNUMBER(AC59)),MAX(0,MIN(AC59,EOMONTH(요약!$B$3,0))-MAX(AB59,요약!$B$3)+1),0)</f>
        <v/>
      </c>
      <c r="AE59" s="10">
        <f>IF(AND(Q59&lt;&gt;"",ISNUMBER(AB59)),Q59&amp;"|다기관","")</f>
        <v/>
      </c>
    </row>
    <row r="60">
      <c r="A60" s="15">
        <f>IF(F60="","",ROW()-3)</f>
        <v/>
      </c>
      <c r="B60" s="5" t="n"/>
      <c r="C60" s="15" t="n"/>
      <c r="D60" s="5" t="n"/>
      <c r="E60" s="15" t="n"/>
      <c r="F60" s="5" t="n"/>
      <c r="G60" s="6" t="n"/>
      <c r="H60" s="16" t="n"/>
      <c r="I60" s="16" t="n"/>
      <c r="J60" s="15">
        <f>IF(AND(ISNUMBER(H60),ISNUMBER(I60)),I60-H60+1,"")</f>
        <v/>
      </c>
      <c r="K60" s="5" t="n"/>
      <c r="L60" s="5" t="n"/>
      <c r="M60" s="5" t="n"/>
      <c r="N60" s="5" t="n"/>
      <c r="O60" s="5" t="n"/>
      <c r="Q60" s="10">
        <f>IF(TRIM(G60&amp;"")="","",TRIM(G60&amp;""))</f>
        <v/>
      </c>
      <c r="R60" s="10">
        <f>IF(TRIM(B60&amp;"")="","",IFERROR(INDEX(코드표!$K$2:$K$101,MATCH(TRIM(B60&amp;""),코드표!$J$2:$J$101,0)),"⚠"&amp;TRIM(B60&amp;"")))</f>
        <v/>
      </c>
      <c r="S60" s="10">
        <f>IF(TRIM(K60&amp;"")="","",IFERROR(INDEX(코드표!$K$2:$K$101,MATCH(TRIM(K60&amp;""),코드표!$J$2:$J$101,0)),"⚠"&amp;TRIM(K60&amp;"")))</f>
        <v/>
      </c>
      <c r="T60" s="10">
        <f>IF(TRIM(M60&amp;"")="","",IF(ISNUMBER(MATCH(TRIM(M60&amp;""),코드표!$C$2:$C$11,0)),TRIM(M60&amp;""),"⚠"&amp;TRIM(M60&amp;"")))</f>
        <v/>
      </c>
      <c r="U60" s="10">
        <f>IF(TRIM(L60&amp;"")="","",IFERROR(INDEX(코드표!$G$2:$G$101,MATCH(TRIM(L60&amp;""),코드표!$F$2:$F$101,0)),"⚠"&amp;TRIM(L60&amp;"")))</f>
        <v/>
      </c>
      <c r="V60" s="10">
        <f>IF(AND(ISNUMBER(H60),ISNUMBER(I60)),I60-H60+1,"")</f>
        <v/>
      </c>
      <c r="W60" s="17">
        <f>IF(ISNUMBER(H60),MAX(0,MIN(IF(ISNUMBER(I60),I60,EOMONTH(요약!$B$3,0)),EOMONTH(요약!$B$3,0))-MAX(H60,요약!$B$3)+1),0)</f>
        <v/>
      </c>
      <c r="X60" s="10">
        <f>IF(OR(NOT(ISNUMBER(H60)),Q60=""),"",IF(TODAY()&lt;H60,"파견예정",IF(AND(ISNUMBER(I60),TODAY()&gt;I60),"파견종료","파견중")))</f>
        <v/>
      </c>
      <c r="Y60" s="10">
        <f>IF(OR(Q60="",X60=""),"",Q60&amp;"|"&amp;X60)</f>
        <v/>
      </c>
      <c r="Z60" s="10">
        <f>IF(AND(Q60&lt;&gt;"",W60&gt;0),Q60&amp;"|월","")</f>
        <v/>
      </c>
      <c r="AA60" s="10">
        <f>IF(COUNTA(B60:N60)=0,"",IF(Q60="","등록번호 없음",IF(LEFT(R60,1)="⚠","모병원명 미등록",IF(S60="","파견병원 입력",IF(LEFT(S60,1)="⚠","파견병원명 미등록",IF(LEFT(U60,1)="⚠","파견과목 미등록",IF(OR(T60="",LEFT(T60,1)="⚠"),"파견근거 확인",IF(NOT(AND(ISNUMBER(H60),ISNUMBER(I60))),"날짜 형식/누락",IF(I60&lt;H60,"종료일&lt;시작일","")))))))))</f>
        <v/>
      </c>
      <c r="AB60" s="11">
        <f>IF(ISNUMBER(SEARCH("다기관",TRIM(N60&amp;" "&amp;O60))),IFERROR(DATE(VALUE(MID(TRIM(N60&amp;" "&amp;O60),1,4)),VALUE(MID(TRIM(N60&amp;" "&amp;O60),6,2)),VALUE(MID(TRIM(N60&amp;" "&amp;O60),9,2))),IF(ISNUMBER(H60),H60,"")),"")</f>
        <v/>
      </c>
      <c r="AC60" s="11">
        <f>IF(ISNUMBER(SEARCH("다기관",TRIM(N60&amp;" "&amp;O60))),IFERROR(DATE(VALUE(MID(TRIM(N60&amp;" "&amp;O60),12,4)),VALUE(MID(TRIM(N60&amp;" "&amp;O60),17,2)),VALUE(MID(TRIM(N60&amp;" "&amp;O60),20,2))),IF(ISNUMBER(I60),I60,"")),"")</f>
        <v/>
      </c>
      <c r="AD60" s="17">
        <f>IF(AND(ISNUMBER(AB60),ISNUMBER(AC60)),MAX(0,MIN(AC60,EOMONTH(요약!$B$3,0))-MAX(AB60,요약!$B$3)+1),0)</f>
        <v/>
      </c>
      <c r="AE60" s="10">
        <f>IF(AND(Q60&lt;&gt;"",ISNUMBER(AB60)),Q60&amp;"|다기관","")</f>
        <v/>
      </c>
    </row>
    <row r="61">
      <c r="A61" s="15">
        <f>IF(F61="","",ROW()-3)</f>
        <v/>
      </c>
      <c r="B61" s="5" t="n"/>
      <c r="C61" s="15" t="n"/>
      <c r="D61" s="5" t="n"/>
      <c r="E61" s="15" t="n"/>
      <c r="F61" s="5" t="n"/>
      <c r="G61" s="6" t="n"/>
      <c r="H61" s="16" t="n"/>
      <c r="I61" s="16" t="n"/>
      <c r="J61" s="15">
        <f>IF(AND(ISNUMBER(H61),ISNUMBER(I61)),I61-H61+1,"")</f>
        <v/>
      </c>
      <c r="K61" s="5" t="n"/>
      <c r="L61" s="5" t="n"/>
      <c r="M61" s="5" t="n"/>
      <c r="N61" s="5" t="n"/>
      <c r="O61" s="5" t="n"/>
      <c r="Q61" s="10">
        <f>IF(TRIM(G61&amp;"")="","",TRIM(G61&amp;""))</f>
        <v/>
      </c>
      <c r="R61" s="10">
        <f>IF(TRIM(B61&amp;"")="","",IFERROR(INDEX(코드표!$K$2:$K$101,MATCH(TRIM(B61&amp;""),코드표!$J$2:$J$101,0)),"⚠"&amp;TRIM(B61&amp;"")))</f>
        <v/>
      </c>
      <c r="S61" s="10">
        <f>IF(TRIM(K61&amp;"")="","",IFERROR(INDEX(코드표!$K$2:$K$101,MATCH(TRIM(K61&amp;""),코드표!$J$2:$J$101,0)),"⚠"&amp;TRIM(K61&amp;"")))</f>
        <v/>
      </c>
      <c r="T61" s="10">
        <f>IF(TRIM(M61&amp;"")="","",IF(ISNUMBER(MATCH(TRIM(M61&amp;""),코드표!$C$2:$C$11,0)),TRIM(M61&amp;""),"⚠"&amp;TRIM(M61&amp;"")))</f>
        <v/>
      </c>
      <c r="U61" s="10">
        <f>IF(TRIM(L61&amp;"")="","",IFERROR(INDEX(코드표!$G$2:$G$101,MATCH(TRIM(L61&amp;""),코드표!$F$2:$F$101,0)),"⚠"&amp;TRIM(L61&amp;"")))</f>
        <v/>
      </c>
      <c r="V61" s="10">
        <f>IF(AND(ISNUMBER(H61),ISNUMBER(I61)),I61-H61+1,"")</f>
        <v/>
      </c>
      <c r="W61" s="17">
        <f>IF(ISNUMBER(H61),MAX(0,MIN(IF(ISNUMBER(I61),I61,EOMONTH(요약!$B$3,0)),EOMONTH(요약!$B$3,0))-MAX(H61,요약!$B$3)+1),0)</f>
        <v/>
      </c>
      <c r="X61" s="10">
        <f>IF(OR(NOT(ISNUMBER(H61)),Q61=""),"",IF(TODAY()&lt;H61,"파견예정",IF(AND(ISNUMBER(I61),TODAY()&gt;I61),"파견종료","파견중")))</f>
        <v/>
      </c>
      <c r="Y61" s="10">
        <f>IF(OR(Q61="",X61=""),"",Q61&amp;"|"&amp;X61)</f>
        <v/>
      </c>
      <c r="Z61" s="10">
        <f>IF(AND(Q61&lt;&gt;"",W61&gt;0),Q61&amp;"|월","")</f>
        <v/>
      </c>
      <c r="AA61" s="10">
        <f>IF(COUNTA(B61:N61)=0,"",IF(Q61="","등록번호 없음",IF(LEFT(R61,1)="⚠","모병원명 미등록",IF(S61="","파견병원 입력",IF(LEFT(S61,1)="⚠","파견병원명 미등록",IF(LEFT(U61,1)="⚠","파견과목 미등록",IF(OR(T61="",LEFT(T61,1)="⚠"),"파견근거 확인",IF(NOT(AND(ISNUMBER(H61),ISNUMBER(I61))),"날짜 형식/누락",IF(I61&lt;H61,"종료일&lt;시작일","")))))))))</f>
        <v/>
      </c>
      <c r="AB61" s="11">
        <f>IF(ISNUMBER(SEARCH("다기관",TRIM(N61&amp;" "&amp;O61))),IFERROR(DATE(VALUE(MID(TRIM(N61&amp;" "&amp;O61),1,4)),VALUE(MID(TRIM(N61&amp;" "&amp;O61),6,2)),VALUE(MID(TRIM(N61&amp;" "&amp;O61),9,2))),IF(ISNUMBER(H61),H61,"")),"")</f>
        <v/>
      </c>
      <c r="AC61" s="11">
        <f>IF(ISNUMBER(SEARCH("다기관",TRIM(N61&amp;" "&amp;O61))),IFERROR(DATE(VALUE(MID(TRIM(N61&amp;" "&amp;O61),12,4)),VALUE(MID(TRIM(N61&amp;" "&amp;O61),17,2)),VALUE(MID(TRIM(N61&amp;" "&amp;O61),20,2))),IF(ISNUMBER(I61),I61,"")),"")</f>
        <v/>
      </c>
      <c r="AD61" s="17">
        <f>IF(AND(ISNUMBER(AB61),ISNUMBER(AC61)),MAX(0,MIN(AC61,EOMONTH(요약!$B$3,0))-MAX(AB61,요약!$B$3)+1),0)</f>
        <v/>
      </c>
      <c r="AE61" s="10">
        <f>IF(AND(Q61&lt;&gt;"",ISNUMBER(AB61)),Q61&amp;"|다기관","")</f>
        <v/>
      </c>
    </row>
    <row r="62">
      <c r="A62" s="15">
        <f>IF(F62="","",ROW()-3)</f>
        <v/>
      </c>
      <c r="B62" s="5" t="n"/>
      <c r="C62" s="15" t="n"/>
      <c r="D62" s="5" t="n"/>
      <c r="E62" s="15" t="n"/>
      <c r="F62" s="5" t="n"/>
      <c r="G62" s="6" t="n"/>
      <c r="H62" s="16" t="n"/>
      <c r="I62" s="16" t="n"/>
      <c r="J62" s="15">
        <f>IF(AND(ISNUMBER(H62),ISNUMBER(I62)),I62-H62+1,"")</f>
        <v/>
      </c>
      <c r="K62" s="5" t="n"/>
      <c r="L62" s="5" t="n"/>
      <c r="M62" s="5" t="n"/>
      <c r="N62" s="5" t="n"/>
      <c r="O62" s="5" t="n"/>
      <c r="Q62" s="10">
        <f>IF(TRIM(G62&amp;"")="","",TRIM(G62&amp;""))</f>
        <v/>
      </c>
      <c r="R62" s="10">
        <f>IF(TRIM(B62&amp;"")="","",IFERROR(INDEX(코드표!$K$2:$K$101,MATCH(TRIM(B62&amp;""),코드표!$J$2:$J$101,0)),"⚠"&amp;TRIM(B62&amp;"")))</f>
        <v/>
      </c>
      <c r="S62" s="10">
        <f>IF(TRIM(K62&amp;"")="","",IFERROR(INDEX(코드표!$K$2:$K$101,MATCH(TRIM(K62&amp;""),코드표!$J$2:$J$101,0)),"⚠"&amp;TRIM(K62&amp;"")))</f>
        <v/>
      </c>
      <c r="T62" s="10">
        <f>IF(TRIM(M62&amp;"")="","",IF(ISNUMBER(MATCH(TRIM(M62&amp;""),코드표!$C$2:$C$11,0)),TRIM(M62&amp;""),"⚠"&amp;TRIM(M62&amp;"")))</f>
        <v/>
      </c>
      <c r="U62" s="10">
        <f>IF(TRIM(L62&amp;"")="","",IFERROR(INDEX(코드표!$G$2:$G$101,MATCH(TRIM(L62&amp;""),코드표!$F$2:$F$101,0)),"⚠"&amp;TRIM(L62&amp;"")))</f>
        <v/>
      </c>
      <c r="V62" s="10">
        <f>IF(AND(ISNUMBER(H62),ISNUMBER(I62)),I62-H62+1,"")</f>
        <v/>
      </c>
      <c r="W62" s="17">
        <f>IF(ISNUMBER(H62),MAX(0,MIN(IF(ISNUMBER(I62),I62,EOMONTH(요약!$B$3,0)),EOMONTH(요약!$B$3,0))-MAX(H62,요약!$B$3)+1),0)</f>
        <v/>
      </c>
      <c r="X62" s="10">
        <f>IF(OR(NOT(ISNUMBER(H62)),Q62=""),"",IF(TODAY()&lt;H62,"파견예정",IF(AND(ISNUMBER(I62),TODAY()&gt;I62),"파견종료","파견중")))</f>
        <v/>
      </c>
      <c r="Y62" s="10">
        <f>IF(OR(Q62="",X62=""),"",Q62&amp;"|"&amp;X62)</f>
        <v/>
      </c>
      <c r="Z62" s="10">
        <f>IF(AND(Q62&lt;&gt;"",W62&gt;0),Q62&amp;"|월","")</f>
        <v/>
      </c>
      <c r="AA62" s="10">
        <f>IF(COUNTA(B62:N62)=0,"",IF(Q62="","등록번호 없음",IF(LEFT(R62,1)="⚠","모병원명 미등록",IF(S62="","파견병원 입력",IF(LEFT(S62,1)="⚠","파견병원명 미등록",IF(LEFT(U62,1)="⚠","파견과목 미등록",IF(OR(T62="",LEFT(T62,1)="⚠"),"파견근거 확인",IF(NOT(AND(ISNUMBER(H62),ISNUMBER(I62))),"날짜 형식/누락",IF(I62&lt;H62,"종료일&lt;시작일","")))))))))</f>
        <v/>
      </c>
      <c r="AB62" s="11">
        <f>IF(ISNUMBER(SEARCH("다기관",TRIM(N62&amp;" "&amp;O62))),IFERROR(DATE(VALUE(MID(TRIM(N62&amp;" "&amp;O62),1,4)),VALUE(MID(TRIM(N62&amp;" "&amp;O62),6,2)),VALUE(MID(TRIM(N62&amp;" "&amp;O62),9,2))),IF(ISNUMBER(H62),H62,"")),"")</f>
        <v/>
      </c>
      <c r="AC62" s="11">
        <f>IF(ISNUMBER(SEARCH("다기관",TRIM(N62&amp;" "&amp;O62))),IFERROR(DATE(VALUE(MID(TRIM(N62&amp;" "&amp;O62),12,4)),VALUE(MID(TRIM(N62&amp;" "&amp;O62),17,2)),VALUE(MID(TRIM(N62&amp;" "&amp;O62),20,2))),IF(ISNUMBER(I62),I62,"")),"")</f>
        <v/>
      </c>
      <c r="AD62" s="17">
        <f>IF(AND(ISNUMBER(AB62),ISNUMBER(AC62)),MAX(0,MIN(AC62,EOMONTH(요약!$B$3,0))-MAX(AB62,요약!$B$3)+1),0)</f>
        <v/>
      </c>
      <c r="AE62" s="10">
        <f>IF(AND(Q62&lt;&gt;"",ISNUMBER(AB62)),Q62&amp;"|다기관","")</f>
        <v/>
      </c>
    </row>
    <row r="63">
      <c r="A63" s="15">
        <f>IF(F63="","",ROW()-3)</f>
        <v/>
      </c>
      <c r="B63" s="5" t="n"/>
      <c r="C63" s="15" t="n"/>
      <c r="D63" s="5" t="n"/>
      <c r="E63" s="15" t="n"/>
      <c r="F63" s="5" t="n"/>
      <c r="G63" s="6" t="n"/>
      <c r="H63" s="16" t="n"/>
      <c r="I63" s="16" t="n"/>
      <c r="J63" s="15">
        <f>IF(AND(ISNUMBER(H63),ISNUMBER(I63)),I63-H63+1,"")</f>
        <v/>
      </c>
      <c r="K63" s="5" t="n"/>
      <c r="L63" s="5" t="n"/>
      <c r="M63" s="5" t="n"/>
      <c r="N63" s="5" t="n"/>
      <c r="O63" s="5" t="n"/>
      <c r="Q63" s="10">
        <f>IF(TRIM(G63&amp;"")="","",TRIM(G63&amp;""))</f>
        <v/>
      </c>
      <c r="R63" s="10">
        <f>IF(TRIM(B63&amp;"")="","",IFERROR(INDEX(코드표!$K$2:$K$101,MATCH(TRIM(B63&amp;""),코드표!$J$2:$J$101,0)),"⚠"&amp;TRIM(B63&amp;"")))</f>
        <v/>
      </c>
      <c r="S63" s="10">
        <f>IF(TRIM(K63&amp;"")="","",IFERROR(INDEX(코드표!$K$2:$K$101,MATCH(TRIM(K63&amp;""),코드표!$J$2:$J$101,0)),"⚠"&amp;TRIM(K63&amp;"")))</f>
        <v/>
      </c>
      <c r="T63" s="10">
        <f>IF(TRIM(M63&amp;"")="","",IF(ISNUMBER(MATCH(TRIM(M63&amp;""),코드표!$C$2:$C$11,0)),TRIM(M63&amp;""),"⚠"&amp;TRIM(M63&amp;"")))</f>
        <v/>
      </c>
      <c r="U63" s="10">
        <f>IF(TRIM(L63&amp;"")="","",IFERROR(INDEX(코드표!$G$2:$G$101,MATCH(TRIM(L63&amp;""),코드표!$F$2:$F$101,0)),"⚠"&amp;TRIM(L63&amp;"")))</f>
        <v/>
      </c>
      <c r="V63" s="10">
        <f>IF(AND(ISNUMBER(H63),ISNUMBER(I63)),I63-H63+1,"")</f>
        <v/>
      </c>
      <c r="W63" s="17">
        <f>IF(ISNUMBER(H63),MAX(0,MIN(IF(ISNUMBER(I63),I63,EOMONTH(요약!$B$3,0)),EOMONTH(요약!$B$3,0))-MAX(H63,요약!$B$3)+1),0)</f>
        <v/>
      </c>
      <c r="X63" s="10">
        <f>IF(OR(NOT(ISNUMBER(H63)),Q63=""),"",IF(TODAY()&lt;H63,"파견예정",IF(AND(ISNUMBER(I63),TODAY()&gt;I63),"파견종료","파견중")))</f>
        <v/>
      </c>
      <c r="Y63" s="10">
        <f>IF(OR(Q63="",X63=""),"",Q63&amp;"|"&amp;X63)</f>
        <v/>
      </c>
      <c r="Z63" s="10">
        <f>IF(AND(Q63&lt;&gt;"",W63&gt;0),Q63&amp;"|월","")</f>
        <v/>
      </c>
      <c r="AA63" s="10">
        <f>IF(COUNTA(B63:N63)=0,"",IF(Q63="","등록번호 없음",IF(LEFT(R63,1)="⚠","모병원명 미등록",IF(S63="","파견병원 입력",IF(LEFT(S63,1)="⚠","파견병원명 미등록",IF(LEFT(U63,1)="⚠","파견과목 미등록",IF(OR(T63="",LEFT(T63,1)="⚠"),"파견근거 확인",IF(NOT(AND(ISNUMBER(H63),ISNUMBER(I63))),"날짜 형식/누락",IF(I63&lt;H63,"종료일&lt;시작일","")))))))))</f>
        <v/>
      </c>
      <c r="AB63" s="11">
        <f>IF(ISNUMBER(SEARCH("다기관",TRIM(N63&amp;" "&amp;O63))),IFERROR(DATE(VALUE(MID(TRIM(N63&amp;" "&amp;O63),1,4)),VALUE(MID(TRIM(N63&amp;" "&amp;O63),6,2)),VALUE(MID(TRIM(N63&amp;" "&amp;O63),9,2))),IF(ISNUMBER(H63),H63,"")),"")</f>
        <v/>
      </c>
      <c r="AC63" s="11">
        <f>IF(ISNUMBER(SEARCH("다기관",TRIM(N63&amp;" "&amp;O63))),IFERROR(DATE(VALUE(MID(TRIM(N63&amp;" "&amp;O63),12,4)),VALUE(MID(TRIM(N63&amp;" "&amp;O63),17,2)),VALUE(MID(TRIM(N63&amp;" "&amp;O63),20,2))),IF(ISNUMBER(I63),I63,"")),"")</f>
        <v/>
      </c>
      <c r="AD63" s="17">
        <f>IF(AND(ISNUMBER(AB63),ISNUMBER(AC63)),MAX(0,MIN(AC63,EOMONTH(요약!$B$3,0))-MAX(AB63,요약!$B$3)+1),0)</f>
        <v/>
      </c>
      <c r="AE63" s="10">
        <f>IF(AND(Q63&lt;&gt;"",ISNUMBER(AB63)),Q63&amp;"|다기관","")</f>
        <v/>
      </c>
    </row>
    <row r="64">
      <c r="A64" s="15">
        <f>IF(F64="","",ROW()-3)</f>
        <v/>
      </c>
      <c r="B64" s="5" t="n"/>
      <c r="C64" s="15" t="n"/>
      <c r="D64" s="5" t="n"/>
      <c r="E64" s="15" t="n"/>
      <c r="F64" s="5" t="n"/>
      <c r="G64" s="6" t="n"/>
      <c r="H64" s="16" t="n"/>
      <c r="I64" s="16" t="n"/>
      <c r="J64" s="15">
        <f>IF(AND(ISNUMBER(H64),ISNUMBER(I64)),I64-H64+1,"")</f>
        <v/>
      </c>
      <c r="K64" s="5" t="n"/>
      <c r="L64" s="5" t="n"/>
      <c r="M64" s="5" t="n"/>
      <c r="N64" s="5" t="n"/>
      <c r="O64" s="5" t="n"/>
      <c r="Q64" s="10">
        <f>IF(TRIM(G64&amp;"")="","",TRIM(G64&amp;""))</f>
        <v/>
      </c>
      <c r="R64" s="10">
        <f>IF(TRIM(B64&amp;"")="","",IFERROR(INDEX(코드표!$K$2:$K$101,MATCH(TRIM(B64&amp;""),코드표!$J$2:$J$101,0)),"⚠"&amp;TRIM(B64&amp;"")))</f>
        <v/>
      </c>
      <c r="S64" s="10">
        <f>IF(TRIM(K64&amp;"")="","",IFERROR(INDEX(코드표!$K$2:$K$101,MATCH(TRIM(K64&amp;""),코드표!$J$2:$J$101,0)),"⚠"&amp;TRIM(K64&amp;"")))</f>
        <v/>
      </c>
      <c r="T64" s="10">
        <f>IF(TRIM(M64&amp;"")="","",IF(ISNUMBER(MATCH(TRIM(M64&amp;""),코드표!$C$2:$C$11,0)),TRIM(M64&amp;""),"⚠"&amp;TRIM(M64&amp;"")))</f>
        <v/>
      </c>
      <c r="U64" s="10">
        <f>IF(TRIM(L64&amp;"")="","",IFERROR(INDEX(코드표!$G$2:$G$101,MATCH(TRIM(L64&amp;""),코드표!$F$2:$F$101,0)),"⚠"&amp;TRIM(L64&amp;"")))</f>
        <v/>
      </c>
      <c r="V64" s="10">
        <f>IF(AND(ISNUMBER(H64),ISNUMBER(I64)),I64-H64+1,"")</f>
        <v/>
      </c>
      <c r="W64" s="17">
        <f>IF(ISNUMBER(H64),MAX(0,MIN(IF(ISNUMBER(I64),I64,EOMONTH(요약!$B$3,0)),EOMONTH(요약!$B$3,0))-MAX(H64,요약!$B$3)+1),0)</f>
        <v/>
      </c>
      <c r="X64" s="10">
        <f>IF(OR(NOT(ISNUMBER(H64)),Q64=""),"",IF(TODAY()&lt;H64,"파견예정",IF(AND(ISNUMBER(I64),TODAY()&gt;I64),"파견종료","파견중")))</f>
        <v/>
      </c>
      <c r="Y64" s="10">
        <f>IF(OR(Q64="",X64=""),"",Q64&amp;"|"&amp;X64)</f>
        <v/>
      </c>
      <c r="Z64" s="10">
        <f>IF(AND(Q64&lt;&gt;"",W64&gt;0),Q64&amp;"|월","")</f>
        <v/>
      </c>
      <c r="AA64" s="10">
        <f>IF(COUNTA(B64:N64)=0,"",IF(Q64="","등록번호 없음",IF(LEFT(R64,1)="⚠","모병원명 미등록",IF(S64="","파견병원 입력",IF(LEFT(S64,1)="⚠","파견병원명 미등록",IF(LEFT(U64,1)="⚠","파견과목 미등록",IF(OR(T64="",LEFT(T64,1)="⚠"),"파견근거 확인",IF(NOT(AND(ISNUMBER(H64),ISNUMBER(I64))),"날짜 형식/누락",IF(I64&lt;H64,"종료일&lt;시작일","")))))))))</f>
        <v/>
      </c>
      <c r="AB64" s="11">
        <f>IF(ISNUMBER(SEARCH("다기관",TRIM(N64&amp;" "&amp;O64))),IFERROR(DATE(VALUE(MID(TRIM(N64&amp;" "&amp;O64),1,4)),VALUE(MID(TRIM(N64&amp;" "&amp;O64),6,2)),VALUE(MID(TRIM(N64&amp;" "&amp;O64),9,2))),IF(ISNUMBER(H64),H64,"")),"")</f>
        <v/>
      </c>
      <c r="AC64" s="11">
        <f>IF(ISNUMBER(SEARCH("다기관",TRIM(N64&amp;" "&amp;O64))),IFERROR(DATE(VALUE(MID(TRIM(N64&amp;" "&amp;O64),12,4)),VALUE(MID(TRIM(N64&amp;" "&amp;O64),17,2)),VALUE(MID(TRIM(N64&amp;" "&amp;O64),20,2))),IF(ISNUMBER(I64),I64,"")),"")</f>
        <v/>
      </c>
      <c r="AD64" s="17">
        <f>IF(AND(ISNUMBER(AB64),ISNUMBER(AC64)),MAX(0,MIN(AC64,EOMONTH(요약!$B$3,0))-MAX(AB64,요약!$B$3)+1),0)</f>
        <v/>
      </c>
      <c r="AE64" s="10">
        <f>IF(AND(Q64&lt;&gt;"",ISNUMBER(AB64)),Q64&amp;"|다기관","")</f>
        <v/>
      </c>
    </row>
    <row r="65">
      <c r="A65" s="15">
        <f>IF(F65="","",ROW()-3)</f>
        <v/>
      </c>
      <c r="B65" s="5" t="n"/>
      <c r="C65" s="15" t="n"/>
      <c r="D65" s="5" t="n"/>
      <c r="E65" s="15" t="n"/>
      <c r="F65" s="5" t="n"/>
      <c r="G65" s="6" t="n"/>
      <c r="H65" s="16" t="n"/>
      <c r="I65" s="16" t="n"/>
      <c r="J65" s="15">
        <f>IF(AND(ISNUMBER(H65),ISNUMBER(I65)),I65-H65+1,"")</f>
        <v/>
      </c>
      <c r="K65" s="5" t="n"/>
      <c r="L65" s="5" t="n"/>
      <c r="M65" s="5" t="n"/>
      <c r="N65" s="5" t="n"/>
      <c r="O65" s="5" t="n"/>
      <c r="Q65" s="10">
        <f>IF(TRIM(G65&amp;"")="","",TRIM(G65&amp;""))</f>
        <v/>
      </c>
      <c r="R65" s="10">
        <f>IF(TRIM(B65&amp;"")="","",IFERROR(INDEX(코드표!$K$2:$K$101,MATCH(TRIM(B65&amp;""),코드표!$J$2:$J$101,0)),"⚠"&amp;TRIM(B65&amp;"")))</f>
        <v/>
      </c>
      <c r="S65" s="10">
        <f>IF(TRIM(K65&amp;"")="","",IFERROR(INDEX(코드표!$K$2:$K$101,MATCH(TRIM(K65&amp;""),코드표!$J$2:$J$101,0)),"⚠"&amp;TRIM(K65&amp;"")))</f>
        <v/>
      </c>
      <c r="T65" s="10">
        <f>IF(TRIM(M65&amp;"")="","",IF(ISNUMBER(MATCH(TRIM(M65&amp;""),코드표!$C$2:$C$11,0)),TRIM(M65&amp;""),"⚠"&amp;TRIM(M65&amp;"")))</f>
        <v/>
      </c>
      <c r="U65" s="10">
        <f>IF(TRIM(L65&amp;"")="","",IFERROR(INDEX(코드표!$G$2:$G$101,MATCH(TRIM(L65&amp;""),코드표!$F$2:$F$101,0)),"⚠"&amp;TRIM(L65&amp;"")))</f>
        <v/>
      </c>
      <c r="V65" s="10">
        <f>IF(AND(ISNUMBER(H65),ISNUMBER(I65)),I65-H65+1,"")</f>
        <v/>
      </c>
      <c r="W65" s="17">
        <f>IF(ISNUMBER(H65),MAX(0,MIN(IF(ISNUMBER(I65),I65,EOMONTH(요약!$B$3,0)),EOMONTH(요약!$B$3,0))-MAX(H65,요약!$B$3)+1),0)</f>
        <v/>
      </c>
      <c r="X65" s="10">
        <f>IF(OR(NOT(ISNUMBER(H65)),Q65=""),"",IF(TODAY()&lt;H65,"파견예정",IF(AND(ISNUMBER(I65),TODAY()&gt;I65),"파견종료","파견중")))</f>
        <v/>
      </c>
      <c r="Y65" s="10">
        <f>IF(OR(Q65="",X65=""),"",Q65&amp;"|"&amp;X65)</f>
        <v/>
      </c>
      <c r="Z65" s="10">
        <f>IF(AND(Q65&lt;&gt;"",W65&gt;0),Q65&amp;"|월","")</f>
        <v/>
      </c>
      <c r="AA65" s="10">
        <f>IF(COUNTA(B65:N65)=0,"",IF(Q65="","등록번호 없음",IF(LEFT(R65,1)="⚠","모병원명 미등록",IF(S65="","파견병원 입력",IF(LEFT(S65,1)="⚠","파견병원명 미등록",IF(LEFT(U65,1)="⚠","파견과목 미등록",IF(OR(T65="",LEFT(T65,1)="⚠"),"파견근거 확인",IF(NOT(AND(ISNUMBER(H65),ISNUMBER(I65))),"날짜 형식/누락",IF(I65&lt;H65,"종료일&lt;시작일","")))))))))</f>
        <v/>
      </c>
      <c r="AB65" s="11">
        <f>IF(ISNUMBER(SEARCH("다기관",TRIM(N65&amp;" "&amp;O65))),IFERROR(DATE(VALUE(MID(TRIM(N65&amp;" "&amp;O65),1,4)),VALUE(MID(TRIM(N65&amp;" "&amp;O65),6,2)),VALUE(MID(TRIM(N65&amp;" "&amp;O65),9,2))),IF(ISNUMBER(H65),H65,"")),"")</f>
        <v/>
      </c>
      <c r="AC65" s="11">
        <f>IF(ISNUMBER(SEARCH("다기관",TRIM(N65&amp;" "&amp;O65))),IFERROR(DATE(VALUE(MID(TRIM(N65&amp;" "&amp;O65),12,4)),VALUE(MID(TRIM(N65&amp;" "&amp;O65),17,2)),VALUE(MID(TRIM(N65&amp;" "&amp;O65),20,2))),IF(ISNUMBER(I65),I65,"")),"")</f>
        <v/>
      </c>
      <c r="AD65" s="17">
        <f>IF(AND(ISNUMBER(AB65),ISNUMBER(AC65)),MAX(0,MIN(AC65,EOMONTH(요약!$B$3,0))-MAX(AB65,요약!$B$3)+1),0)</f>
        <v/>
      </c>
      <c r="AE65" s="10">
        <f>IF(AND(Q65&lt;&gt;"",ISNUMBER(AB65)),Q65&amp;"|다기관","")</f>
        <v/>
      </c>
    </row>
    <row r="66">
      <c r="A66" s="15">
        <f>IF(F66="","",ROW()-3)</f>
        <v/>
      </c>
      <c r="B66" s="5" t="n"/>
      <c r="C66" s="15" t="n"/>
      <c r="D66" s="5" t="n"/>
      <c r="E66" s="15" t="n"/>
      <c r="F66" s="5" t="n"/>
      <c r="G66" s="6" t="n"/>
      <c r="H66" s="16" t="n"/>
      <c r="I66" s="16" t="n"/>
      <c r="J66" s="15">
        <f>IF(AND(ISNUMBER(H66),ISNUMBER(I66)),I66-H66+1,"")</f>
        <v/>
      </c>
      <c r="K66" s="5" t="n"/>
      <c r="L66" s="5" t="n"/>
      <c r="M66" s="5" t="n"/>
      <c r="N66" s="5" t="n"/>
      <c r="O66" s="5" t="n"/>
      <c r="Q66" s="10">
        <f>IF(TRIM(G66&amp;"")="","",TRIM(G66&amp;""))</f>
        <v/>
      </c>
      <c r="R66" s="10">
        <f>IF(TRIM(B66&amp;"")="","",IFERROR(INDEX(코드표!$K$2:$K$101,MATCH(TRIM(B66&amp;""),코드표!$J$2:$J$101,0)),"⚠"&amp;TRIM(B66&amp;"")))</f>
        <v/>
      </c>
      <c r="S66" s="10">
        <f>IF(TRIM(K66&amp;"")="","",IFERROR(INDEX(코드표!$K$2:$K$101,MATCH(TRIM(K66&amp;""),코드표!$J$2:$J$101,0)),"⚠"&amp;TRIM(K66&amp;"")))</f>
        <v/>
      </c>
      <c r="T66" s="10">
        <f>IF(TRIM(M66&amp;"")="","",IF(ISNUMBER(MATCH(TRIM(M66&amp;""),코드표!$C$2:$C$11,0)),TRIM(M66&amp;""),"⚠"&amp;TRIM(M66&amp;"")))</f>
        <v/>
      </c>
      <c r="U66" s="10">
        <f>IF(TRIM(L66&amp;"")="","",IFERROR(INDEX(코드표!$G$2:$G$101,MATCH(TRIM(L66&amp;""),코드표!$F$2:$F$101,0)),"⚠"&amp;TRIM(L66&amp;"")))</f>
        <v/>
      </c>
      <c r="V66" s="10">
        <f>IF(AND(ISNUMBER(H66),ISNUMBER(I66)),I66-H66+1,"")</f>
        <v/>
      </c>
      <c r="W66" s="17">
        <f>IF(ISNUMBER(H66),MAX(0,MIN(IF(ISNUMBER(I66),I66,EOMONTH(요약!$B$3,0)),EOMONTH(요약!$B$3,0))-MAX(H66,요약!$B$3)+1),0)</f>
        <v/>
      </c>
      <c r="X66" s="10">
        <f>IF(OR(NOT(ISNUMBER(H66)),Q66=""),"",IF(TODAY()&lt;H66,"파견예정",IF(AND(ISNUMBER(I66),TODAY()&gt;I66),"파견종료","파견중")))</f>
        <v/>
      </c>
      <c r="Y66" s="10">
        <f>IF(OR(Q66="",X66=""),"",Q66&amp;"|"&amp;X66)</f>
        <v/>
      </c>
      <c r="Z66" s="10">
        <f>IF(AND(Q66&lt;&gt;"",W66&gt;0),Q66&amp;"|월","")</f>
        <v/>
      </c>
      <c r="AA66" s="10">
        <f>IF(COUNTA(B66:N66)=0,"",IF(Q66="","등록번호 없음",IF(LEFT(R66,1)="⚠","모병원명 미등록",IF(S66="","파견병원 입력",IF(LEFT(S66,1)="⚠","파견병원명 미등록",IF(LEFT(U66,1)="⚠","파견과목 미등록",IF(OR(T66="",LEFT(T66,1)="⚠"),"파견근거 확인",IF(NOT(AND(ISNUMBER(H66),ISNUMBER(I66))),"날짜 형식/누락",IF(I66&lt;H66,"종료일&lt;시작일","")))))))))</f>
        <v/>
      </c>
      <c r="AB66" s="11">
        <f>IF(ISNUMBER(SEARCH("다기관",TRIM(N66&amp;" "&amp;O66))),IFERROR(DATE(VALUE(MID(TRIM(N66&amp;" "&amp;O66),1,4)),VALUE(MID(TRIM(N66&amp;" "&amp;O66),6,2)),VALUE(MID(TRIM(N66&amp;" "&amp;O66),9,2))),IF(ISNUMBER(H66),H66,"")),"")</f>
        <v/>
      </c>
      <c r="AC66" s="11">
        <f>IF(ISNUMBER(SEARCH("다기관",TRIM(N66&amp;" "&amp;O66))),IFERROR(DATE(VALUE(MID(TRIM(N66&amp;" "&amp;O66),12,4)),VALUE(MID(TRIM(N66&amp;" "&amp;O66),17,2)),VALUE(MID(TRIM(N66&amp;" "&amp;O66),20,2))),IF(ISNUMBER(I66),I66,"")),"")</f>
        <v/>
      </c>
      <c r="AD66" s="17">
        <f>IF(AND(ISNUMBER(AB66),ISNUMBER(AC66)),MAX(0,MIN(AC66,EOMONTH(요약!$B$3,0))-MAX(AB66,요약!$B$3)+1),0)</f>
        <v/>
      </c>
      <c r="AE66" s="10">
        <f>IF(AND(Q66&lt;&gt;"",ISNUMBER(AB66)),Q66&amp;"|다기관","")</f>
        <v/>
      </c>
    </row>
    <row r="67">
      <c r="A67" s="15">
        <f>IF(F67="","",ROW()-3)</f>
        <v/>
      </c>
      <c r="B67" s="5" t="n"/>
      <c r="C67" s="15" t="n"/>
      <c r="D67" s="5" t="n"/>
      <c r="E67" s="15" t="n"/>
      <c r="F67" s="5" t="n"/>
      <c r="G67" s="6" t="n"/>
      <c r="H67" s="16" t="n"/>
      <c r="I67" s="16" t="n"/>
      <c r="J67" s="15">
        <f>IF(AND(ISNUMBER(H67),ISNUMBER(I67)),I67-H67+1,"")</f>
        <v/>
      </c>
      <c r="K67" s="5" t="n"/>
      <c r="L67" s="5" t="n"/>
      <c r="M67" s="5" t="n"/>
      <c r="N67" s="5" t="n"/>
      <c r="O67" s="5" t="n"/>
      <c r="Q67" s="10">
        <f>IF(TRIM(G67&amp;"")="","",TRIM(G67&amp;""))</f>
        <v/>
      </c>
      <c r="R67" s="10">
        <f>IF(TRIM(B67&amp;"")="","",IFERROR(INDEX(코드표!$K$2:$K$101,MATCH(TRIM(B67&amp;""),코드표!$J$2:$J$101,0)),"⚠"&amp;TRIM(B67&amp;"")))</f>
        <v/>
      </c>
      <c r="S67" s="10">
        <f>IF(TRIM(K67&amp;"")="","",IFERROR(INDEX(코드표!$K$2:$K$101,MATCH(TRIM(K67&amp;""),코드표!$J$2:$J$101,0)),"⚠"&amp;TRIM(K67&amp;"")))</f>
        <v/>
      </c>
      <c r="T67" s="10">
        <f>IF(TRIM(M67&amp;"")="","",IF(ISNUMBER(MATCH(TRIM(M67&amp;""),코드표!$C$2:$C$11,0)),TRIM(M67&amp;""),"⚠"&amp;TRIM(M67&amp;"")))</f>
        <v/>
      </c>
      <c r="U67" s="10">
        <f>IF(TRIM(L67&amp;"")="","",IFERROR(INDEX(코드표!$G$2:$G$101,MATCH(TRIM(L67&amp;""),코드표!$F$2:$F$101,0)),"⚠"&amp;TRIM(L67&amp;"")))</f>
        <v/>
      </c>
      <c r="V67" s="10">
        <f>IF(AND(ISNUMBER(H67),ISNUMBER(I67)),I67-H67+1,"")</f>
        <v/>
      </c>
      <c r="W67" s="17">
        <f>IF(ISNUMBER(H67),MAX(0,MIN(IF(ISNUMBER(I67),I67,EOMONTH(요약!$B$3,0)),EOMONTH(요약!$B$3,0))-MAX(H67,요약!$B$3)+1),0)</f>
        <v/>
      </c>
      <c r="X67" s="10">
        <f>IF(OR(NOT(ISNUMBER(H67)),Q67=""),"",IF(TODAY()&lt;H67,"파견예정",IF(AND(ISNUMBER(I67),TODAY()&gt;I67),"파견종료","파견중")))</f>
        <v/>
      </c>
      <c r="Y67" s="10">
        <f>IF(OR(Q67="",X67=""),"",Q67&amp;"|"&amp;X67)</f>
        <v/>
      </c>
      <c r="Z67" s="10">
        <f>IF(AND(Q67&lt;&gt;"",W67&gt;0),Q67&amp;"|월","")</f>
        <v/>
      </c>
      <c r="AA67" s="10">
        <f>IF(COUNTA(B67:N67)=0,"",IF(Q67="","등록번호 없음",IF(LEFT(R67,1)="⚠","모병원명 미등록",IF(S67="","파견병원 입력",IF(LEFT(S67,1)="⚠","파견병원명 미등록",IF(LEFT(U67,1)="⚠","파견과목 미등록",IF(OR(T67="",LEFT(T67,1)="⚠"),"파견근거 확인",IF(NOT(AND(ISNUMBER(H67),ISNUMBER(I67))),"날짜 형식/누락",IF(I67&lt;H67,"종료일&lt;시작일","")))))))))</f>
        <v/>
      </c>
      <c r="AB67" s="11">
        <f>IF(ISNUMBER(SEARCH("다기관",TRIM(N67&amp;" "&amp;O67))),IFERROR(DATE(VALUE(MID(TRIM(N67&amp;" "&amp;O67),1,4)),VALUE(MID(TRIM(N67&amp;" "&amp;O67),6,2)),VALUE(MID(TRIM(N67&amp;" "&amp;O67),9,2))),IF(ISNUMBER(H67),H67,"")),"")</f>
        <v/>
      </c>
      <c r="AC67" s="11">
        <f>IF(ISNUMBER(SEARCH("다기관",TRIM(N67&amp;" "&amp;O67))),IFERROR(DATE(VALUE(MID(TRIM(N67&amp;" "&amp;O67),12,4)),VALUE(MID(TRIM(N67&amp;" "&amp;O67),17,2)),VALUE(MID(TRIM(N67&amp;" "&amp;O67),20,2))),IF(ISNUMBER(I67),I67,"")),"")</f>
        <v/>
      </c>
      <c r="AD67" s="17">
        <f>IF(AND(ISNUMBER(AB67),ISNUMBER(AC67)),MAX(0,MIN(AC67,EOMONTH(요약!$B$3,0))-MAX(AB67,요약!$B$3)+1),0)</f>
        <v/>
      </c>
      <c r="AE67" s="10">
        <f>IF(AND(Q67&lt;&gt;"",ISNUMBER(AB67)),Q67&amp;"|다기관","")</f>
        <v/>
      </c>
    </row>
    <row r="68">
      <c r="A68" s="15">
        <f>IF(F68="","",ROW()-3)</f>
        <v/>
      </c>
      <c r="B68" s="5" t="n"/>
      <c r="C68" s="15" t="n"/>
      <c r="D68" s="5" t="n"/>
      <c r="E68" s="15" t="n"/>
      <c r="F68" s="5" t="n"/>
      <c r="G68" s="6" t="n"/>
      <c r="H68" s="16" t="n"/>
      <c r="I68" s="16" t="n"/>
      <c r="J68" s="15">
        <f>IF(AND(ISNUMBER(H68),ISNUMBER(I68)),I68-H68+1,"")</f>
        <v/>
      </c>
      <c r="K68" s="5" t="n"/>
      <c r="L68" s="5" t="n"/>
      <c r="M68" s="5" t="n"/>
      <c r="N68" s="5" t="n"/>
      <c r="O68" s="5" t="n"/>
      <c r="Q68" s="10">
        <f>IF(TRIM(G68&amp;"")="","",TRIM(G68&amp;""))</f>
        <v/>
      </c>
      <c r="R68" s="10">
        <f>IF(TRIM(B68&amp;"")="","",IFERROR(INDEX(코드표!$K$2:$K$101,MATCH(TRIM(B68&amp;""),코드표!$J$2:$J$101,0)),"⚠"&amp;TRIM(B68&amp;"")))</f>
        <v/>
      </c>
      <c r="S68" s="10">
        <f>IF(TRIM(K68&amp;"")="","",IFERROR(INDEX(코드표!$K$2:$K$101,MATCH(TRIM(K68&amp;""),코드표!$J$2:$J$101,0)),"⚠"&amp;TRIM(K68&amp;"")))</f>
        <v/>
      </c>
      <c r="T68" s="10">
        <f>IF(TRIM(M68&amp;"")="","",IF(ISNUMBER(MATCH(TRIM(M68&amp;""),코드표!$C$2:$C$11,0)),TRIM(M68&amp;""),"⚠"&amp;TRIM(M68&amp;"")))</f>
        <v/>
      </c>
      <c r="U68" s="10">
        <f>IF(TRIM(L68&amp;"")="","",IFERROR(INDEX(코드표!$G$2:$G$101,MATCH(TRIM(L68&amp;""),코드표!$F$2:$F$101,0)),"⚠"&amp;TRIM(L68&amp;"")))</f>
        <v/>
      </c>
      <c r="V68" s="10">
        <f>IF(AND(ISNUMBER(H68),ISNUMBER(I68)),I68-H68+1,"")</f>
        <v/>
      </c>
      <c r="W68" s="17">
        <f>IF(ISNUMBER(H68),MAX(0,MIN(IF(ISNUMBER(I68),I68,EOMONTH(요약!$B$3,0)),EOMONTH(요약!$B$3,0))-MAX(H68,요약!$B$3)+1),0)</f>
        <v/>
      </c>
      <c r="X68" s="10">
        <f>IF(OR(NOT(ISNUMBER(H68)),Q68=""),"",IF(TODAY()&lt;H68,"파견예정",IF(AND(ISNUMBER(I68),TODAY()&gt;I68),"파견종료","파견중")))</f>
        <v/>
      </c>
      <c r="Y68" s="10">
        <f>IF(OR(Q68="",X68=""),"",Q68&amp;"|"&amp;X68)</f>
        <v/>
      </c>
      <c r="Z68" s="10">
        <f>IF(AND(Q68&lt;&gt;"",W68&gt;0),Q68&amp;"|월","")</f>
        <v/>
      </c>
      <c r="AA68" s="10">
        <f>IF(COUNTA(B68:N68)=0,"",IF(Q68="","등록번호 없음",IF(LEFT(R68,1)="⚠","모병원명 미등록",IF(S68="","파견병원 입력",IF(LEFT(S68,1)="⚠","파견병원명 미등록",IF(LEFT(U68,1)="⚠","파견과목 미등록",IF(OR(T68="",LEFT(T68,1)="⚠"),"파견근거 확인",IF(NOT(AND(ISNUMBER(H68),ISNUMBER(I68))),"날짜 형식/누락",IF(I68&lt;H68,"종료일&lt;시작일","")))))))))</f>
        <v/>
      </c>
      <c r="AB68" s="11">
        <f>IF(ISNUMBER(SEARCH("다기관",TRIM(N68&amp;" "&amp;O68))),IFERROR(DATE(VALUE(MID(TRIM(N68&amp;" "&amp;O68),1,4)),VALUE(MID(TRIM(N68&amp;" "&amp;O68),6,2)),VALUE(MID(TRIM(N68&amp;" "&amp;O68),9,2))),IF(ISNUMBER(H68),H68,"")),"")</f>
        <v/>
      </c>
      <c r="AC68" s="11">
        <f>IF(ISNUMBER(SEARCH("다기관",TRIM(N68&amp;" "&amp;O68))),IFERROR(DATE(VALUE(MID(TRIM(N68&amp;" "&amp;O68),12,4)),VALUE(MID(TRIM(N68&amp;" "&amp;O68),17,2)),VALUE(MID(TRIM(N68&amp;" "&amp;O68),20,2))),IF(ISNUMBER(I68),I68,"")),"")</f>
        <v/>
      </c>
      <c r="AD68" s="17">
        <f>IF(AND(ISNUMBER(AB68),ISNUMBER(AC68)),MAX(0,MIN(AC68,EOMONTH(요약!$B$3,0))-MAX(AB68,요약!$B$3)+1),0)</f>
        <v/>
      </c>
      <c r="AE68" s="10">
        <f>IF(AND(Q68&lt;&gt;"",ISNUMBER(AB68)),Q68&amp;"|다기관","")</f>
        <v/>
      </c>
    </row>
    <row r="69">
      <c r="A69" s="15">
        <f>IF(F69="","",ROW()-3)</f>
        <v/>
      </c>
      <c r="B69" s="5" t="n"/>
      <c r="C69" s="15" t="n"/>
      <c r="D69" s="5" t="n"/>
      <c r="E69" s="15" t="n"/>
      <c r="F69" s="5" t="n"/>
      <c r="G69" s="6" t="n"/>
      <c r="H69" s="16" t="n"/>
      <c r="I69" s="16" t="n"/>
      <c r="J69" s="15">
        <f>IF(AND(ISNUMBER(H69),ISNUMBER(I69)),I69-H69+1,"")</f>
        <v/>
      </c>
      <c r="K69" s="5" t="n"/>
      <c r="L69" s="5" t="n"/>
      <c r="M69" s="5" t="n"/>
      <c r="N69" s="5" t="n"/>
      <c r="O69" s="5" t="n"/>
      <c r="Q69" s="10">
        <f>IF(TRIM(G69&amp;"")="","",TRIM(G69&amp;""))</f>
        <v/>
      </c>
      <c r="R69" s="10">
        <f>IF(TRIM(B69&amp;"")="","",IFERROR(INDEX(코드표!$K$2:$K$101,MATCH(TRIM(B69&amp;""),코드표!$J$2:$J$101,0)),"⚠"&amp;TRIM(B69&amp;"")))</f>
        <v/>
      </c>
      <c r="S69" s="10">
        <f>IF(TRIM(K69&amp;"")="","",IFERROR(INDEX(코드표!$K$2:$K$101,MATCH(TRIM(K69&amp;""),코드표!$J$2:$J$101,0)),"⚠"&amp;TRIM(K69&amp;"")))</f>
        <v/>
      </c>
      <c r="T69" s="10">
        <f>IF(TRIM(M69&amp;"")="","",IF(ISNUMBER(MATCH(TRIM(M69&amp;""),코드표!$C$2:$C$11,0)),TRIM(M69&amp;""),"⚠"&amp;TRIM(M69&amp;"")))</f>
        <v/>
      </c>
      <c r="U69" s="10">
        <f>IF(TRIM(L69&amp;"")="","",IFERROR(INDEX(코드표!$G$2:$G$101,MATCH(TRIM(L69&amp;""),코드표!$F$2:$F$101,0)),"⚠"&amp;TRIM(L69&amp;"")))</f>
        <v/>
      </c>
      <c r="V69" s="10">
        <f>IF(AND(ISNUMBER(H69),ISNUMBER(I69)),I69-H69+1,"")</f>
        <v/>
      </c>
      <c r="W69" s="17">
        <f>IF(ISNUMBER(H69),MAX(0,MIN(IF(ISNUMBER(I69),I69,EOMONTH(요약!$B$3,0)),EOMONTH(요약!$B$3,0))-MAX(H69,요약!$B$3)+1),0)</f>
        <v/>
      </c>
      <c r="X69" s="10">
        <f>IF(OR(NOT(ISNUMBER(H69)),Q69=""),"",IF(TODAY()&lt;H69,"파견예정",IF(AND(ISNUMBER(I69),TODAY()&gt;I69),"파견종료","파견중")))</f>
        <v/>
      </c>
      <c r="Y69" s="10">
        <f>IF(OR(Q69="",X69=""),"",Q69&amp;"|"&amp;X69)</f>
        <v/>
      </c>
      <c r="Z69" s="10">
        <f>IF(AND(Q69&lt;&gt;"",W69&gt;0),Q69&amp;"|월","")</f>
        <v/>
      </c>
      <c r="AA69" s="10">
        <f>IF(COUNTA(B69:N69)=0,"",IF(Q69="","등록번호 없음",IF(LEFT(R69,1)="⚠","모병원명 미등록",IF(S69="","파견병원 입력",IF(LEFT(S69,1)="⚠","파견병원명 미등록",IF(LEFT(U69,1)="⚠","파견과목 미등록",IF(OR(T69="",LEFT(T69,1)="⚠"),"파견근거 확인",IF(NOT(AND(ISNUMBER(H69),ISNUMBER(I69))),"날짜 형식/누락",IF(I69&lt;H69,"종료일&lt;시작일","")))))))))</f>
        <v/>
      </c>
      <c r="AB69" s="11">
        <f>IF(ISNUMBER(SEARCH("다기관",TRIM(N69&amp;" "&amp;O69))),IFERROR(DATE(VALUE(MID(TRIM(N69&amp;" "&amp;O69),1,4)),VALUE(MID(TRIM(N69&amp;" "&amp;O69),6,2)),VALUE(MID(TRIM(N69&amp;" "&amp;O69),9,2))),IF(ISNUMBER(H69),H69,"")),"")</f>
        <v/>
      </c>
      <c r="AC69" s="11">
        <f>IF(ISNUMBER(SEARCH("다기관",TRIM(N69&amp;" "&amp;O69))),IFERROR(DATE(VALUE(MID(TRIM(N69&amp;" "&amp;O69),12,4)),VALUE(MID(TRIM(N69&amp;" "&amp;O69),17,2)),VALUE(MID(TRIM(N69&amp;" "&amp;O69),20,2))),IF(ISNUMBER(I69),I69,"")),"")</f>
        <v/>
      </c>
      <c r="AD69" s="17">
        <f>IF(AND(ISNUMBER(AB69),ISNUMBER(AC69)),MAX(0,MIN(AC69,EOMONTH(요약!$B$3,0))-MAX(AB69,요약!$B$3)+1),0)</f>
        <v/>
      </c>
      <c r="AE69" s="10">
        <f>IF(AND(Q69&lt;&gt;"",ISNUMBER(AB69)),Q69&amp;"|다기관","")</f>
        <v/>
      </c>
    </row>
    <row r="70">
      <c r="A70" s="15">
        <f>IF(F70="","",ROW()-3)</f>
        <v/>
      </c>
      <c r="B70" s="5" t="n"/>
      <c r="C70" s="15" t="n"/>
      <c r="D70" s="5" t="n"/>
      <c r="E70" s="15" t="n"/>
      <c r="F70" s="5" t="n"/>
      <c r="G70" s="6" t="n"/>
      <c r="H70" s="16" t="n"/>
      <c r="I70" s="16" t="n"/>
      <c r="J70" s="15">
        <f>IF(AND(ISNUMBER(H70),ISNUMBER(I70)),I70-H70+1,"")</f>
        <v/>
      </c>
      <c r="K70" s="5" t="n"/>
      <c r="L70" s="5" t="n"/>
      <c r="M70" s="5" t="n"/>
      <c r="N70" s="5" t="n"/>
      <c r="O70" s="5" t="n"/>
      <c r="Q70" s="10">
        <f>IF(TRIM(G70&amp;"")="","",TRIM(G70&amp;""))</f>
        <v/>
      </c>
      <c r="R70" s="10">
        <f>IF(TRIM(B70&amp;"")="","",IFERROR(INDEX(코드표!$K$2:$K$101,MATCH(TRIM(B70&amp;""),코드표!$J$2:$J$101,0)),"⚠"&amp;TRIM(B70&amp;"")))</f>
        <v/>
      </c>
      <c r="S70" s="10">
        <f>IF(TRIM(K70&amp;"")="","",IFERROR(INDEX(코드표!$K$2:$K$101,MATCH(TRIM(K70&amp;""),코드표!$J$2:$J$101,0)),"⚠"&amp;TRIM(K70&amp;"")))</f>
        <v/>
      </c>
      <c r="T70" s="10">
        <f>IF(TRIM(M70&amp;"")="","",IF(ISNUMBER(MATCH(TRIM(M70&amp;""),코드표!$C$2:$C$11,0)),TRIM(M70&amp;""),"⚠"&amp;TRIM(M70&amp;"")))</f>
        <v/>
      </c>
      <c r="U70" s="10">
        <f>IF(TRIM(L70&amp;"")="","",IFERROR(INDEX(코드표!$G$2:$G$101,MATCH(TRIM(L70&amp;""),코드표!$F$2:$F$101,0)),"⚠"&amp;TRIM(L70&amp;"")))</f>
        <v/>
      </c>
      <c r="V70" s="10">
        <f>IF(AND(ISNUMBER(H70),ISNUMBER(I70)),I70-H70+1,"")</f>
        <v/>
      </c>
      <c r="W70" s="17">
        <f>IF(ISNUMBER(H70),MAX(0,MIN(IF(ISNUMBER(I70),I70,EOMONTH(요약!$B$3,0)),EOMONTH(요약!$B$3,0))-MAX(H70,요약!$B$3)+1),0)</f>
        <v/>
      </c>
      <c r="X70" s="10">
        <f>IF(OR(NOT(ISNUMBER(H70)),Q70=""),"",IF(TODAY()&lt;H70,"파견예정",IF(AND(ISNUMBER(I70),TODAY()&gt;I70),"파견종료","파견중")))</f>
        <v/>
      </c>
      <c r="Y70" s="10">
        <f>IF(OR(Q70="",X70=""),"",Q70&amp;"|"&amp;X70)</f>
        <v/>
      </c>
      <c r="Z70" s="10">
        <f>IF(AND(Q70&lt;&gt;"",W70&gt;0),Q70&amp;"|월","")</f>
        <v/>
      </c>
      <c r="AA70" s="10">
        <f>IF(COUNTA(B70:N70)=0,"",IF(Q70="","등록번호 없음",IF(LEFT(R70,1)="⚠","모병원명 미등록",IF(S70="","파견병원 입력",IF(LEFT(S70,1)="⚠","파견병원명 미등록",IF(LEFT(U70,1)="⚠","파견과목 미등록",IF(OR(T70="",LEFT(T70,1)="⚠"),"파견근거 확인",IF(NOT(AND(ISNUMBER(H70),ISNUMBER(I70))),"날짜 형식/누락",IF(I70&lt;H70,"종료일&lt;시작일","")))))))))</f>
        <v/>
      </c>
      <c r="AB70" s="11">
        <f>IF(ISNUMBER(SEARCH("다기관",TRIM(N70&amp;" "&amp;O70))),IFERROR(DATE(VALUE(MID(TRIM(N70&amp;" "&amp;O70),1,4)),VALUE(MID(TRIM(N70&amp;" "&amp;O70),6,2)),VALUE(MID(TRIM(N70&amp;" "&amp;O70),9,2))),IF(ISNUMBER(H70),H70,"")),"")</f>
        <v/>
      </c>
      <c r="AC70" s="11">
        <f>IF(ISNUMBER(SEARCH("다기관",TRIM(N70&amp;" "&amp;O70))),IFERROR(DATE(VALUE(MID(TRIM(N70&amp;" "&amp;O70),12,4)),VALUE(MID(TRIM(N70&amp;" "&amp;O70),17,2)),VALUE(MID(TRIM(N70&amp;" "&amp;O70),20,2))),IF(ISNUMBER(I70),I70,"")),"")</f>
        <v/>
      </c>
      <c r="AD70" s="17">
        <f>IF(AND(ISNUMBER(AB70),ISNUMBER(AC70)),MAX(0,MIN(AC70,EOMONTH(요약!$B$3,0))-MAX(AB70,요약!$B$3)+1),0)</f>
        <v/>
      </c>
      <c r="AE70" s="10">
        <f>IF(AND(Q70&lt;&gt;"",ISNUMBER(AB70)),Q70&amp;"|다기관","")</f>
        <v/>
      </c>
    </row>
    <row r="71">
      <c r="A71" s="15">
        <f>IF(F71="","",ROW()-3)</f>
        <v/>
      </c>
      <c r="B71" s="5" t="n"/>
      <c r="C71" s="15" t="n"/>
      <c r="D71" s="5" t="n"/>
      <c r="E71" s="15" t="n"/>
      <c r="F71" s="5" t="n"/>
      <c r="G71" s="6" t="n"/>
      <c r="H71" s="16" t="n"/>
      <c r="I71" s="16" t="n"/>
      <c r="J71" s="15">
        <f>IF(AND(ISNUMBER(H71),ISNUMBER(I71)),I71-H71+1,"")</f>
        <v/>
      </c>
      <c r="K71" s="5" t="n"/>
      <c r="L71" s="5" t="n"/>
      <c r="M71" s="5" t="n"/>
      <c r="N71" s="5" t="n"/>
      <c r="O71" s="5" t="n"/>
      <c r="Q71" s="10">
        <f>IF(TRIM(G71&amp;"")="","",TRIM(G71&amp;""))</f>
        <v/>
      </c>
      <c r="R71" s="10">
        <f>IF(TRIM(B71&amp;"")="","",IFERROR(INDEX(코드표!$K$2:$K$101,MATCH(TRIM(B71&amp;""),코드표!$J$2:$J$101,0)),"⚠"&amp;TRIM(B71&amp;"")))</f>
        <v/>
      </c>
      <c r="S71" s="10">
        <f>IF(TRIM(K71&amp;"")="","",IFERROR(INDEX(코드표!$K$2:$K$101,MATCH(TRIM(K71&amp;""),코드표!$J$2:$J$101,0)),"⚠"&amp;TRIM(K71&amp;"")))</f>
        <v/>
      </c>
      <c r="T71" s="10">
        <f>IF(TRIM(M71&amp;"")="","",IF(ISNUMBER(MATCH(TRIM(M71&amp;""),코드표!$C$2:$C$11,0)),TRIM(M71&amp;""),"⚠"&amp;TRIM(M71&amp;"")))</f>
        <v/>
      </c>
      <c r="U71" s="10">
        <f>IF(TRIM(L71&amp;"")="","",IFERROR(INDEX(코드표!$G$2:$G$101,MATCH(TRIM(L71&amp;""),코드표!$F$2:$F$101,0)),"⚠"&amp;TRIM(L71&amp;"")))</f>
        <v/>
      </c>
      <c r="V71" s="10">
        <f>IF(AND(ISNUMBER(H71),ISNUMBER(I71)),I71-H71+1,"")</f>
        <v/>
      </c>
      <c r="W71" s="17">
        <f>IF(ISNUMBER(H71),MAX(0,MIN(IF(ISNUMBER(I71),I71,EOMONTH(요약!$B$3,0)),EOMONTH(요약!$B$3,0))-MAX(H71,요약!$B$3)+1),0)</f>
        <v/>
      </c>
      <c r="X71" s="10">
        <f>IF(OR(NOT(ISNUMBER(H71)),Q71=""),"",IF(TODAY()&lt;H71,"파견예정",IF(AND(ISNUMBER(I71),TODAY()&gt;I71),"파견종료","파견중")))</f>
        <v/>
      </c>
      <c r="Y71" s="10">
        <f>IF(OR(Q71="",X71=""),"",Q71&amp;"|"&amp;X71)</f>
        <v/>
      </c>
      <c r="Z71" s="10">
        <f>IF(AND(Q71&lt;&gt;"",W71&gt;0),Q71&amp;"|월","")</f>
        <v/>
      </c>
      <c r="AA71" s="10">
        <f>IF(COUNTA(B71:N71)=0,"",IF(Q71="","등록번호 없음",IF(LEFT(R71,1)="⚠","모병원명 미등록",IF(S71="","파견병원 입력",IF(LEFT(S71,1)="⚠","파견병원명 미등록",IF(LEFT(U71,1)="⚠","파견과목 미등록",IF(OR(T71="",LEFT(T71,1)="⚠"),"파견근거 확인",IF(NOT(AND(ISNUMBER(H71),ISNUMBER(I71))),"날짜 형식/누락",IF(I71&lt;H71,"종료일&lt;시작일","")))))))))</f>
        <v/>
      </c>
      <c r="AB71" s="11">
        <f>IF(ISNUMBER(SEARCH("다기관",TRIM(N71&amp;" "&amp;O71))),IFERROR(DATE(VALUE(MID(TRIM(N71&amp;" "&amp;O71),1,4)),VALUE(MID(TRIM(N71&amp;" "&amp;O71),6,2)),VALUE(MID(TRIM(N71&amp;" "&amp;O71),9,2))),IF(ISNUMBER(H71),H71,"")),"")</f>
        <v/>
      </c>
      <c r="AC71" s="11">
        <f>IF(ISNUMBER(SEARCH("다기관",TRIM(N71&amp;" "&amp;O71))),IFERROR(DATE(VALUE(MID(TRIM(N71&amp;" "&amp;O71),12,4)),VALUE(MID(TRIM(N71&amp;" "&amp;O71),17,2)),VALUE(MID(TRIM(N71&amp;" "&amp;O71),20,2))),IF(ISNUMBER(I71),I71,"")),"")</f>
        <v/>
      </c>
      <c r="AD71" s="17">
        <f>IF(AND(ISNUMBER(AB71),ISNUMBER(AC71)),MAX(0,MIN(AC71,EOMONTH(요약!$B$3,0))-MAX(AB71,요약!$B$3)+1),0)</f>
        <v/>
      </c>
      <c r="AE71" s="10">
        <f>IF(AND(Q71&lt;&gt;"",ISNUMBER(AB71)),Q71&amp;"|다기관","")</f>
        <v/>
      </c>
    </row>
    <row r="72">
      <c r="A72" s="15">
        <f>IF(F72="","",ROW()-3)</f>
        <v/>
      </c>
      <c r="B72" s="5" t="n"/>
      <c r="C72" s="15" t="n"/>
      <c r="D72" s="5" t="n"/>
      <c r="E72" s="15" t="n"/>
      <c r="F72" s="5" t="n"/>
      <c r="G72" s="6" t="n"/>
      <c r="H72" s="16" t="n"/>
      <c r="I72" s="16" t="n"/>
      <c r="J72" s="15">
        <f>IF(AND(ISNUMBER(H72),ISNUMBER(I72)),I72-H72+1,"")</f>
        <v/>
      </c>
      <c r="K72" s="5" t="n"/>
      <c r="L72" s="5" t="n"/>
      <c r="M72" s="5" t="n"/>
      <c r="N72" s="5" t="n"/>
      <c r="O72" s="5" t="n"/>
      <c r="Q72" s="10">
        <f>IF(TRIM(G72&amp;"")="","",TRIM(G72&amp;""))</f>
        <v/>
      </c>
      <c r="R72" s="10">
        <f>IF(TRIM(B72&amp;"")="","",IFERROR(INDEX(코드표!$K$2:$K$101,MATCH(TRIM(B72&amp;""),코드표!$J$2:$J$101,0)),"⚠"&amp;TRIM(B72&amp;"")))</f>
        <v/>
      </c>
      <c r="S72" s="10">
        <f>IF(TRIM(K72&amp;"")="","",IFERROR(INDEX(코드표!$K$2:$K$101,MATCH(TRIM(K72&amp;""),코드표!$J$2:$J$101,0)),"⚠"&amp;TRIM(K72&amp;"")))</f>
        <v/>
      </c>
      <c r="T72" s="10">
        <f>IF(TRIM(M72&amp;"")="","",IF(ISNUMBER(MATCH(TRIM(M72&amp;""),코드표!$C$2:$C$11,0)),TRIM(M72&amp;""),"⚠"&amp;TRIM(M72&amp;"")))</f>
        <v/>
      </c>
      <c r="U72" s="10">
        <f>IF(TRIM(L72&amp;"")="","",IFERROR(INDEX(코드표!$G$2:$G$101,MATCH(TRIM(L72&amp;""),코드표!$F$2:$F$101,0)),"⚠"&amp;TRIM(L72&amp;"")))</f>
        <v/>
      </c>
      <c r="V72" s="10">
        <f>IF(AND(ISNUMBER(H72),ISNUMBER(I72)),I72-H72+1,"")</f>
        <v/>
      </c>
      <c r="W72" s="17">
        <f>IF(ISNUMBER(H72),MAX(0,MIN(IF(ISNUMBER(I72),I72,EOMONTH(요약!$B$3,0)),EOMONTH(요약!$B$3,0))-MAX(H72,요약!$B$3)+1),0)</f>
        <v/>
      </c>
      <c r="X72" s="10">
        <f>IF(OR(NOT(ISNUMBER(H72)),Q72=""),"",IF(TODAY()&lt;H72,"파견예정",IF(AND(ISNUMBER(I72),TODAY()&gt;I72),"파견종료","파견중")))</f>
        <v/>
      </c>
      <c r="Y72" s="10">
        <f>IF(OR(Q72="",X72=""),"",Q72&amp;"|"&amp;X72)</f>
        <v/>
      </c>
      <c r="Z72" s="10">
        <f>IF(AND(Q72&lt;&gt;"",W72&gt;0),Q72&amp;"|월","")</f>
        <v/>
      </c>
      <c r="AA72" s="10">
        <f>IF(COUNTA(B72:N72)=0,"",IF(Q72="","등록번호 없음",IF(LEFT(R72,1)="⚠","모병원명 미등록",IF(S72="","파견병원 입력",IF(LEFT(S72,1)="⚠","파견병원명 미등록",IF(LEFT(U72,1)="⚠","파견과목 미등록",IF(OR(T72="",LEFT(T72,1)="⚠"),"파견근거 확인",IF(NOT(AND(ISNUMBER(H72),ISNUMBER(I72))),"날짜 형식/누락",IF(I72&lt;H72,"종료일&lt;시작일","")))))))))</f>
        <v/>
      </c>
      <c r="AB72" s="11">
        <f>IF(ISNUMBER(SEARCH("다기관",TRIM(N72&amp;" "&amp;O72))),IFERROR(DATE(VALUE(MID(TRIM(N72&amp;" "&amp;O72),1,4)),VALUE(MID(TRIM(N72&amp;" "&amp;O72),6,2)),VALUE(MID(TRIM(N72&amp;" "&amp;O72),9,2))),IF(ISNUMBER(H72),H72,"")),"")</f>
        <v/>
      </c>
      <c r="AC72" s="11">
        <f>IF(ISNUMBER(SEARCH("다기관",TRIM(N72&amp;" "&amp;O72))),IFERROR(DATE(VALUE(MID(TRIM(N72&amp;" "&amp;O72),12,4)),VALUE(MID(TRIM(N72&amp;" "&amp;O72),17,2)),VALUE(MID(TRIM(N72&amp;" "&amp;O72),20,2))),IF(ISNUMBER(I72),I72,"")),"")</f>
        <v/>
      </c>
      <c r="AD72" s="17">
        <f>IF(AND(ISNUMBER(AB72),ISNUMBER(AC72)),MAX(0,MIN(AC72,EOMONTH(요약!$B$3,0))-MAX(AB72,요약!$B$3)+1),0)</f>
        <v/>
      </c>
      <c r="AE72" s="10">
        <f>IF(AND(Q72&lt;&gt;"",ISNUMBER(AB72)),Q72&amp;"|다기관","")</f>
        <v/>
      </c>
    </row>
    <row r="73">
      <c r="A73" s="15">
        <f>IF(F73="","",ROW()-3)</f>
        <v/>
      </c>
      <c r="B73" s="5" t="n"/>
      <c r="C73" s="15" t="n"/>
      <c r="D73" s="5" t="n"/>
      <c r="E73" s="15" t="n"/>
      <c r="F73" s="5" t="n"/>
      <c r="G73" s="6" t="n"/>
      <c r="H73" s="16" t="n"/>
      <c r="I73" s="16" t="n"/>
      <c r="J73" s="15">
        <f>IF(AND(ISNUMBER(H73),ISNUMBER(I73)),I73-H73+1,"")</f>
        <v/>
      </c>
      <c r="K73" s="5" t="n"/>
      <c r="L73" s="5" t="n"/>
      <c r="M73" s="5" t="n"/>
      <c r="N73" s="5" t="n"/>
      <c r="O73" s="5" t="n"/>
      <c r="Q73" s="10">
        <f>IF(TRIM(G73&amp;"")="","",TRIM(G73&amp;""))</f>
        <v/>
      </c>
      <c r="R73" s="10">
        <f>IF(TRIM(B73&amp;"")="","",IFERROR(INDEX(코드표!$K$2:$K$101,MATCH(TRIM(B73&amp;""),코드표!$J$2:$J$101,0)),"⚠"&amp;TRIM(B73&amp;"")))</f>
        <v/>
      </c>
      <c r="S73" s="10">
        <f>IF(TRIM(K73&amp;"")="","",IFERROR(INDEX(코드표!$K$2:$K$101,MATCH(TRIM(K73&amp;""),코드표!$J$2:$J$101,0)),"⚠"&amp;TRIM(K73&amp;"")))</f>
        <v/>
      </c>
      <c r="T73" s="10">
        <f>IF(TRIM(M73&amp;"")="","",IF(ISNUMBER(MATCH(TRIM(M73&amp;""),코드표!$C$2:$C$11,0)),TRIM(M73&amp;""),"⚠"&amp;TRIM(M73&amp;"")))</f>
        <v/>
      </c>
      <c r="U73" s="10">
        <f>IF(TRIM(L73&amp;"")="","",IFERROR(INDEX(코드표!$G$2:$G$101,MATCH(TRIM(L73&amp;""),코드표!$F$2:$F$101,0)),"⚠"&amp;TRIM(L73&amp;"")))</f>
        <v/>
      </c>
      <c r="V73" s="10">
        <f>IF(AND(ISNUMBER(H73),ISNUMBER(I73)),I73-H73+1,"")</f>
        <v/>
      </c>
      <c r="W73" s="17">
        <f>IF(ISNUMBER(H73),MAX(0,MIN(IF(ISNUMBER(I73),I73,EOMONTH(요약!$B$3,0)),EOMONTH(요약!$B$3,0))-MAX(H73,요약!$B$3)+1),0)</f>
        <v/>
      </c>
      <c r="X73" s="10">
        <f>IF(OR(NOT(ISNUMBER(H73)),Q73=""),"",IF(TODAY()&lt;H73,"파견예정",IF(AND(ISNUMBER(I73),TODAY()&gt;I73),"파견종료","파견중")))</f>
        <v/>
      </c>
      <c r="Y73" s="10">
        <f>IF(OR(Q73="",X73=""),"",Q73&amp;"|"&amp;X73)</f>
        <v/>
      </c>
      <c r="Z73" s="10">
        <f>IF(AND(Q73&lt;&gt;"",W73&gt;0),Q73&amp;"|월","")</f>
        <v/>
      </c>
      <c r="AA73" s="10">
        <f>IF(COUNTA(B73:N73)=0,"",IF(Q73="","등록번호 없음",IF(LEFT(R73,1)="⚠","모병원명 미등록",IF(S73="","파견병원 입력",IF(LEFT(S73,1)="⚠","파견병원명 미등록",IF(LEFT(U73,1)="⚠","파견과목 미등록",IF(OR(T73="",LEFT(T73,1)="⚠"),"파견근거 확인",IF(NOT(AND(ISNUMBER(H73),ISNUMBER(I73))),"날짜 형식/누락",IF(I73&lt;H73,"종료일&lt;시작일","")))))))))</f>
        <v/>
      </c>
      <c r="AB73" s="11">
        <f>IF(ISNUMBER(SEARCH("다기관",TRIM(N73&amp;" "&amp;O73))),IFERROR(DATE(VALUE(MID(TRIM(N73&amp;" "&amp;O73),1,4)),VALUE(MID(TRIM(N73&amp;" "&amp;O73),6,2)),VALUE(MID(TRIM(N73&amp;" "&amp;O73),9,2))),IF(ISNUMBER(H73),H73,"")),"")</f>
        <v/>
      </c>
      <c r="AC73" s="11">
        <f>IF(ISNUMBER(SEARCH("다기관",TRIM(N73&amp;" "&amp;O73))),IFERROR(DATE(VALUE(MID(TRIM(N73&amp;" "&amp;O73),12,4)),VALUE(MID(TRIM(N73&amp;" "&amp;O73),17,2)),VALUE(MID(TRIM(N73&amp;" "&amp;O73),20,2))),IF(ISNUMBER(I73),I73,"")),"")</f>
        <v/>
      </c>
      <c r="AD73" s="17">
        <f>IF(AND(ISNUMBER(AB73),ISNUMBER(AC73)),MAX(0,MIN(AC73,EOMONTH(요약!$B$3,0))-MAX(AB73,요약!$B$3)+1),0)</f>
        <v/>
      </c>
      <c r="AE73" s="10">
        <f>IF(AND(Q73&lt;&gt;"",ISNUMBER(AB73)),Q73&amp;"|다기관","")</f>
        <v/>
      </c>
    </row>
    <row r="74">
      <c r="A74" s="15">
        <f>IF(F74="","",ROW()-3)</f>
        <v/>
      </c>
      <c r="B74" s="5" t="n"/>
      <c r="C74" s="15" t="n"/>
      <c r="D74" s="5" t="n"/>
      <c r="E74" s="15" t="n"/>
      <c r="F74" s="5" t="n"/>
      <c r="G74" s="6" t="n"/>
      <c r="H74" s="16" t="n"/>
      <c r="I74" s="16" t="n"/>
      <c r="J74" s="15">
        <f>IF(AND(ISNUMBER(H74),ISNUMBER(I74)),I74-H74+1,"")</f>
        <v/>
      </c>
      <c r="K74" s="5" t="n"/>
      <c r="L74" s="5" t="n"/>
      <c r="M74" s="5" t="n"/>
      <c r="N74" s="5" t="n"/>
      <c r="O74" s="5" t="n"/>
      <c r="Q74" s="10">
        <f>IF(TRIM(G74&amp;"")="","",TRIM(G74&amp;""))</f>
        <v/>
      </c>
      <c r="R74" s="10">
        <f>IF(TRIM(B74&amp;"")="","",IFERROR(INDEX(코드표!$K$2:$K$101,MATCH(TRIM(B74&amp;""),코드표!$J$2:$J$101,0)),"⚠"&amp;TRIM(B74&amp;"")))</f>
        <v/>
      </c>
      <c r="S74" s="10">
        <f>IF(TRIM(K74&amp;"")="","",IFERROR(INDEX(코드표!$K$2:$K$101,MATCH(TRIM(K74&amp;""),코드표!$J$2:$J$101,0)),"⚠"&amp;TRIM(K74&amp;"")))</f>
        <v/>
      </c>
      <c r="T74" s="10">
        <f>IF(TRIM(M74&amp;"")="","",IF(ISNUMBER(MATCH(TRIM(M74&amp;""),코드표!$C$2:$C$11,0)),TRIM(M74&amp;""),"⚠"&amp;TRIM(M74&amp;"")))</f>
        <v/>
      </c>
      <c r="U74" s="10">
        <f>IF(TRIM(L74&amp;"")="","",IFERROR(INDEX(코드표!$G$2:$G$101,MATCH(TRIM(L74&amp;""),코드표!$F$2:$F$101,0)),"⚠"&amp;TRIM(L74&amp;"")))</f>
        <v/>
      </c>
      <c r="V74" s="10">
        <f>IF(AND(ISNUMBER(H74),ISNUMBER(I74)),I74-H74+1,"")</f>
        <v/>
      </c>
      <c r="W74" s="17">
        <f>IF(ISNUMBER(H74),MAX(0,MIN(IF(ISNUMBER(I74),I74,EOMONTH(요약!$B$3,0)),EOMONTH(요약!$B$3,0))-MAX(H74,요약!$B$3)+1),0)</f>
        <v/>
      </c>
      <c r="X74" s="10">
        <f>IF(OR(NOT(ISNUMBER(H74)),Q74=""),"",IF(TODAY()&lt;H74,"파견예정",IF(AND(ISNUMBER(I74),TODAY()&gt;I74),"파견종료","파견중")))</f>
        <v/>
      </c>
      <c r="Y74" s="10">
        <f>IF(OR(Q74="",X74=""),"",Q74&amp;"|"&amp;X74)</f>
        <v/>
      </c>
      <c r="Z74" s="10">
        <f>IF(AND(Q74&lt;&gt;"",W74&gt;0),Q74&amp;"|월","")</f>
        <v/>
      </c>
      <c r="AA74" s="10">
        <f>IF(COUNTA(B74:N74)=0,"",IF(Q74="","등록번호 없음",IF(LEFT(R74,1)="⚠","모병원명 미등록",IF(S74="","파견병원 입력",IF(LEFT(S74,1)="⚠","파견병원명 미등록",IF(LEFT(U74,1)="⚠","파견과목 미등록",IF(OR(T74="",LEFT(T74,1)="⚠"),"파견근거 확인",IF(NOT(AND(ISNUMBER(H74),ISNUMBER(I74))),"날짜 형식/누락",IF(I74&lt;H74,"종료일&lt;시작일","")))))))))</f>
        <v/>
      </c>
      <c r="AB74" s="11">
        <f>IF(ISNUMBER(SEARCH("다기관",TRIM(N74&amp;" "&amp;O74))),IFERROR(DATE(VALUE(MID(TRIM(N74&amp;" "&amp;O74),1,4)),VALUE(MID(TRIM(N74&amp;" "&amp;O74),6,2)),VALUE(MID(TRIM(N74&amp;" "&amp;O74),9,2))),IF(ISNUMBER(H74),H74,"")),"")</f>
        <v/>
      </c>
      <c r="AC74" s="11">
        <f>IF(ISNUMBER(SEARCH("다기관",TRIM(N74&amp;" "&amp;O74))),IFERROR(DATE(VALUE(MID(TRIM(N74&amp;" "&amp;O74),12,4)),VALUE(MID(TRIM(N74&amp;" "&amp;O74),17,2)),VALUE(MID(TRIM(N74&amp;" "&amp;O74),20,2))),IF(ISNUMBER(I74),I74,"")),"")</f>
        <v/>
      </c>
      <c r="AD74" s="17">
        <f>IF(AND(ISNUMBER(AB74),ISNUMBER(AC74)),MAX(0,MIN(AC74,EOMONTH(요약!$B$3,0))-MAX(AB74,요약!$B$3)+1),0)</f>
        <v/>
      </c>
      <c r="AE74" s="10">
        <f>IF(AND(Q74&lt;&gt;"",ISNUMBER(AB74)),Q74&amp;"|다기관","")</f>
        <v/>
      </c>
    </row>
    <row r="75">
      <c r="A75" s="15">
        <f>IF(F75="","",ROW()-3)</f>
        <v/>
      </c>
      <c r="B75" s="5" t="n"/>
      <c r="C75" s="15" t="n"/>
      <c r="D75" s="5" t="n"/>
      <c r="E75" s="15" t="n"/>
      <c r="F75" s="5" t="n"/>
      <c r="G75" s="6" t="n"/>
      <c r="H75" s="16" t="n"/>
      <c r="I75" s="16" t="n"/>
      <c r="J75" s="15">
        <f>IF(AND(ISNUMBER(H75),ISNUMBER(I75)),I75-H75+1,"")</f>
        <v/>
      </c>
      <c r="K75" s="5" t="n"/>
      <c r="L75" s="5" t="n"/>
      <c r="M75" s="5" t="n"/>
      <c r="N75" s="5" t="n"/>
      <c r="O75" s="5" t="n"/>
      <c r="Q75" s="10">
        <f>IF(TRIM(G75&amp;"")="","",TRIM(G75&amp;""))</f>
        <v/>
      </c>
      <c r="R75" s="10">
        <f>IF(TRIM(B75&amp;"")="","",IFERROR(INDEX(코드표!$K$2:$K$101,MATCH(TRIM(B75&amp;""),코드표!$J$2:$J$101,0)),"⚠"&amp;TRIM(B75&amp;"")))</f>
        <v/>
      </c>
      <c r="S75" s="10">
        <f>IF(TRIM(K75&amp;"")="","",IFERROR(INDEX(코드표!$K$2:$K$101,MATCH(TRIM(K75&amp;""),코드표!$J$2:$J$101,0)),"⚠"&amp;TRIM(K75&amp;"")))</f>
        <v/>
      </c>
      <c r="T75" s="10">
        <f>IF(TRIM(M75&amp;"")="","",IF(ISNUMBER(MATCH(TRIM(M75&amp;""),코드표!$C$2:$C$11,0)),TRIM(M75&amp;""),"⚠"&amp;TRIM(M75&amp;"")))</f>
        <v/>
      </c>
      <c r="U75" s="10">
        <f>IF(TRIM(L75&amp;"")="","",IFERROR(INDEX(코드표!$G$2:$G$101,MATCH(TRIM(L75&amp;""),코드표!$F$2:$F$101,0)),"⚠"&amp;TRIM(L75&amp;"")))</f>
        <v/>
      </c>
      <c r="V75" s="10">
        <f>IF(AND(ISNUMBER(H75),ISNUMBER(I75)),I75-H75+1,"")</f>
        <v/>
      </c>
      <c r="W75" s="17">
        <f>IF(ISNUMBER(H75),MAX(0,MIN(IF(ISNUMBER(I75),I75,EOMONTH(요약!$B$3,0)),EOMONTH(요약!$B$3,0))-MAX(H75,요약!$B$3)+1),0)</f>
        <v/>
      </c>
      <c r="X75" s="10">
        <f>IF(OR(NOT(ISNUMBER(H75)),Q75=""),"",IF(TODAY()&lt;H75,"파견예정",IF(AND(ISNUMBER(I75),TODAY()&gt;I75),"파견종료","파견중")))</f>
        <v/>
      </c>
      <c r="Y75" s="10">
        <f>IF(OR(Q75="",X75=""),"",Q75&amp;"|"&amp;X75)</f>
        <v/>
      </c>
      <c r="Z75" s="10">
        <f>IF(AND(Q75&lt;&gt;"",W75&gt;0),Q75&amp;"|월","")</f>
        <v/>
      </c>
      <c r="AA75" s="10">
        <f>IF(COUNTA(B75:N75)=0,"",IF(Q75="","등록번호 없음",IF(LEFT(R75,1)="⚠","모병원명 미등록",IF(S75="","파견병원 입력",IF(LEFT(S75,1)="⚠","파견병원명 미등록",IF(LEFT(U75,1)="⚠","파견과목 미등록",IF(OR(T75="",LEFT(T75,1)="⚠"),"파견근거 확인",IF(NOT(AND(ISNUMBER(H75),ISNUMBER(I75))),"날짜 형식/누락",IF(I75&lt;H75,"종료일&lt;시작일","")))))))))</f>
        <v/>
      </c>
      <c r="AB75" s="11">
        <f>IF(ISNUMBER(SEARCH("다기관",TRIM(N75&amp;" "&amp;O75))),IFERROR(DATE(VALUE(MID(TRIM(N75&amp;" "&amp;O75),1,4)),VALUE(MID(TRIM(N75&amp;" "&amp;O75),6,2)),VALUE(MID(TRIM(N75&amp;" "&amp;O75),9,2))),IF(ISNUMBER(H75),H75,"")),"")</f>
        <v/>
      </c>
      <c r="AC75" s="11">
        <f>IF(ISNUMBER(SEARCH("다기관",TRIM(N75&amp;" "&amp;O75))),IFERROR(DATE(VALUE(MID(TRIM(N75&amp;" "&amp;O75),12,4)),VALUE(MID(TRIM(N75&amp;" "&amp;O75),17,2)),VALUE(MID(TRIM(N75&amp;" "&amp;O75),20,2))),IF(ISNUMBER(I75),I75,"")),"")</f>
        <v/>
      </c>
      <c r="AD75" s="17">
        <f>IF(AND(ISNUMBER(AB75),ISNUMBER(AC75)),MAX(0,MIN(AC75,EOMONTH(요약!$B$3,0))-MAX(AB75,요약!$B$3)+1),0)</f>
        <v/>
      </c>
      <c r="AE75" s="10">
        <f>IF(AND(Q75&lt;&gt;"",ISNUMBER(AB75)),Q75&amp;"|다기관","")</f>
        <v/>
      </c>
    </row>
    <row r="76">
      <c r="A76" s="15">
        <f>IF(F76="","",ROW()-3)</f>
        <v/>
      </c>
      <c r="B76" s="5" t="n"/>
      <c r="C76" s="15" t="n"/>
      <c r="D76" s="5" t="n"/>
      <c r="E76" s="15" t="n"/>
      <c r="F76" s="5" t="n"/>
      <c r="G76" s="6" t="n"/>
      <c r="H76" s="16" t="n"/>
      <c r="I76" s="16" t="n"/>
      <c r="J76" s="15">
        <f>IF(AND(ISNUMBER(H76),ISNUMBER(I76)),I76-H76+1,"")</f>
        <v/>
      </c>
      <c r="K76" s="5" t="n"/>
      <c r="L76" s="5" t="n"/>
      <c r="M76" s="5" t="n"/>
      <c r="N76" s="5" t="n"/>
      <c r="O76" s="5" t="n"/>
      <c r="Q76" s="10">
        <f>IF(TRIM(G76&amp;"")="","",TRIM(G76&amp;""))</f>
        <v/>
      </c>
      <c r="R76" s="10">
        <f>IF(TRIM(B76&amp;"")="","",IFERROR(INDEX(코드표!$K$2:$K$101,MATCH(TRIM(B76&amp;""),코드표!$J$2:$J$101,0)),"⚠"&amp;TRIM(B76&amp;"")))</f>
        <v/>
      </c>
      <c r="S76" s="10">
        <f>IF(TRIM(K76&amp;"")="","",IFERROR(INDEX(코드표!$K$2:$K$101,MATCH(TRIM(K76&amp;""),코드표!$J$2:$J$101,0)),"⚠"&amp;TRIM(K76&amp;"")))</f>
        <v/>
      </c>
      <c r="T76" s="10">
        <f>IF(TRIM(M76&amp;"")="","",IF(ISNUMBER(MATCH(TRIM(M76&amp;""),코드표!$C$2:$C$11,0)),TRIM(M76&amp;""),"⚠"&amp;TRIM(M76&amp;"")))</f>
        <v/>
      </c>
      <c r="U76" s="10">
        <f>IF(TRIM(L76&amp;"")="","",IFERROR(INDEX(코드표!$G$2:$G$101,MATCH(TRIM(L76&amp;""),코드표!$F$2:$F$101,0)),"⚠"&amp;TRIM(L76&amp;"")))</f>
        <v/>
      </c>
      <c r="V76" s="10">
        <f>IF(AND(ISNUMBER(H76),ISNUMBER(I76)),I76-H76+1,"")</f>
        <v/>
      </c>
      <c r="W76" s="17">
        <f>IF(ISNUMBER(H76),MAX(0,MIN(IF(ISNUMBER(I76),I76,EOMONTH(요약!$B$3,0)),EOMONTH(요약!$B$3,0))-MAX(H76,요약!$B$3)+1),0)</f>
        <v/>
      </c>
      <c r="X76" s="10">
        <f>IF(OR(NOT(ISNUMBER(H76)),Q76=""),"",IF(TODAY()&lt;H76,"파견예정",IF(AND(ISNUMBER(I76),TODAY()&gt;I76),"파견종료","파견중")))</f>
        <v/>
      </c>
      <c r="Y76" s="10">
        <f>IF(OR(Q76="",X76=""),"",Q76&amp;"|"&amp;X76)</f>
        <v/>
      </c>
      <c r="Z76" s="10">
        <f>IF(AND(Q76&lt;&gt;"",W76&gt;0),Q76&amp;"|월","")</f>
        <v/>
      </c>
      <c r="AA76" s="10">
        <f>IF(COUNTA(B76:N76)=0,"",IF(Q76="","등록번호 없음",IF(LEFT(R76,1)="⚠","모병원명 미등록",IF(S76="","파견병원 입력",IF(LEFT(S76,1)="⚠","파견병원명 미등록",IF(LEFT(U76,1)="⚠","파견과목 미등록",IF(OR(T76="",LEFT(T76,1)="⚠"),"파견근거 확인",IF(NOT(AND(ISNUMBER(H76),ISNUMBER(I76))),"날짜 형식/누락",IF(I76&lt;H76,"종료일&lt;시작일","")))))))))</f>
        <v/>
      </c>
      <c r="AB76" s="11">
        <f>IF(ISNUMBER(SEARCH("다기관",TRIM(N76&amp;" "&amp;O76))),IFERROR(DATE(VALUE(MID(TRIM(N76&amp;" "&amp;O76),1,4)),VALUE(MID(TRIM(N76&amp;" "&amp;O76),6,2)),VALUE(MID(TRIM(N76&amp;" "&amp;O76),9,2))),IF(ISNUMBER(H76),H76,"")),"")</f>
        <v/>
      </c>
      <c r="AC76" s="11">
        <f>IF(ISNUMBER(SEARCH("다기관",TRIM(N76&amp;" "&amp;O76))),IFERROR(DATE(VALUE(MID(TRIM(N76&amp;" "&amp;O76),12,4)),VALUE(MID(TRIM(N76&amp;" "&amp;O76),17,2)),VALUE(MID(TRIM(N76&amp;" "&amp;O76),20,2))),IF(ISNUMBER(I76),I76,"")),"")</f>
        <v/>
      </c>
      <c r="AD76" s="17">
        <f>IF(AND(ISNUMBER(AB76),ISNUMBER(AC76)),MAX(0,MIN(AC76,EOMONTH(요약!$B$3,0))-MAX(AB76,요약!$B$3)+1),0)</f>
        <v/>
      </c>
      <c r="AE76" s="10">
        <f>IF(AND(Q76&lt;&gt;"",ISNUMBER(AB76)),Q76&amp;"|다기관","")</f>
        <v/>
      </c>
    </row>
    <row r="77">
      <c r="A77" s="15">
        <f>IF(F77="","",ROW()-3)</f>
        <v/>
      </c>
      <c r="B77" s="5" t="n"/>
      <c r="C77" s="15" t="n"/>
      <c r="D77" s="5" t="n"/>
      <c r="E77" s="15" t="n"/>
      <c r="F77" s="5" t="n"/>
      <c r="G77" s="6" t="n"/>
      <c r="H77" s="16" t="n"/>
      <c r="I77" s="16" t="n"/>
      <c r="J77" s="15">
        <f>IF(AND(ISNUMBER(H77),ISNUMBER(I77)),I77-H77+1,"")</f>
        <v/>
      </c>
      <c r="K77" s="5" t="n"/>
      <c r="L77" s="5" t="n"/>
      <c r="M77" s="5" t="n"/>
      <c r="N77" s="5" t="n"/>
      <c r="O77" s="5" t="n"/>
      <c r="Q77" s="10">
        <f>IF(TRIM(G77&amp;"")="","",TRIM(G77&amp;""))</f>
        <v/>
      </c>
      <c r="R77" s="10">
        <f>IF(TRIM(B77&amp;"")="","",IFERROR(INDEX(코드표!$K$2:$K$101,MATCH(TRIM(B77&amp;""),코드표!$J$2:$J$101,0)),"⚠"&amp;TRIM(B77&amp;"")))</f>
        <v/>
      </c>
      <c r="S77" s="10">
        <f>IF(TRIM(K77&amp;"")="","",IFERROR(INDEX(코드표!$K$2:$K$101,MATCH(TRIM(K77&amp;""),코드표!$J$2:$J$101,0)),"⚠"&amp;TRIM(K77&amp;"")))</f>
        <v/>
      </c>
      <c r="T77" s="10">
        <f>IF(TRIM(M77&amp;"")="","",IF(ISNUMBER(MATCH(TRIM(M77&amp;""),코드표!$C$2:$C$11,0)),TRIM(M77&amp;""),"⚠"&amp;TRIM(M77&amp;"")))</f>
        <v/>
      </c>
      <c r="U77" s="10">
        <f>IF(TRIM(L77&amp;"")="","",IFERROR(INDEX(코드표!$G$2:$G$101,MATCH(TRIM(L77&amp;""),코드표!$F$2:$F$101,0)),"⚠"&amp;TRIM(L77&amp;"")))</f>
        <v/>
      </c>
      <c r="V77" s="10">
        <f>IF(AND(ISNUMBER(H77),ISNUMBER(I77)),I77-H77+1,"")</f>
        <v/>
      </c>
      <c r="W77" s="17">
        <f>IF(ISNUMBER(H77),MAX(0,MIN(IF(ISNUMBER(I77),I77,EOMONTH(요약!$B$3,0)),EOMONTH(요약!$B$3,0))-MAX(H77,요약!$B$3)+1),0)</f>
        <v/>
      </c>
      <c r="X77" s="10">
        <f>IF(OR(NOT(ISNUMBER(H77)),Q77=""),"",IF(TODAY()&lt;H77,"파견예정",IF(AND(ISNUMBER(I77),TODAY()&gt;I77),"파견종료","파견중")))</f>
        <v/>
      </c>
      <c r="Y77" s="10">
        <f>IF(OR(Q77="",X77=""),"",Q77&amp;"|"&amp;X77)</f>
        <v/>
      </c>
      <c r="Z77" s="10">
        <f>IF(AND(Q77&lt;&gt;"",W77&gt;0),Q77&amp;"|월","")</f>
        <v/>
      </c>
      <c r="AA77" s="10">
        <f>IF(COUNTA(B77:N77)=0,"",IF(Q77="","등록번호 없음",IF(LEFT(R77,1)="⚠","모병원명 미등록",IF(S77="","파견병원 입력",IF(LEFT(S77,1)="⚠","파견병원명 미등록",IF(LEFT(U77,1)="⚠","파견과목 미등록",IF(OR(T77="",LEFT(T77,1)="⚠"),"파견근거 확인",IF(NOT(AND(ISNUMBER(H77),ISNUMBER(I77))),"날짜 형식/누락",IF(I77&lt;H77,"종료일&lt;시작일","")))))))))</f>
        <v/>
      </c>
      <c r="AB77" s="11">
        <f>IF(ISNUMBER(SEARCH("다기관",TRIM(N77&amp;" "&amp;O77))),IFERROR(DATE(VALUE(MID(TRIM(N77&amp;" "&amp;O77),1,4)),VALUE(MID(TRIM(N77&amp;" "&amp;O77),6,2)),VALUE(MID(TRIM(N77&amp;" "&amp;O77),9,2))),IF(ISNUMBER(H77),H77,"")),"")</f>
        <v/>
      </c>
      <c r="AC77" s="11">
        <f>IF(ISNUMBER(SEARCH("다기관",TRIM(N77&amp;" "&amp;O77))),IFERROR(DATE(VALUE(MID(TRIM(N77&amp;" "&amp;O77),12,4)),VALUE(MID(TRIM(N77&amp;" "&amp;O77),17,2)),VALUE(MID(TRIM(N77&amp;" "&amp;O77),20,2))),IF(ISNUMBER(I77),I77,"")),"")</f>
        <v/>
      </c>
      <c r="AD77" s="17">
        <f>IF(AND(ISNUMBER(AB77),ISNUMBER(AC77)),MAX(0,MIN(AC77,EOMONTH(요약!$B$3,0))-MAX(AB77,요약!$B$3)+1),0)</f>
        <v/>
      </c>
      <c r="AE77" s="10">
        <f>IF(AND(Q77&lt;&gt;"",ISNUMBER(AB77)),Q77&amp;"|다기관","")</f>
        <v/>
      </c>
    </row>
    <row r="78">
      <c r="A78" s="15">
        <f>IF(F78="","",ROW()-3)</f>
        <v/>
      </c>
      <c r="B78" s="5" t="n"/>
      <c r="C78" s="15" t="n"/>
      <c r="D78" s="5" t="n"/>
      <c r="E78" s="15" t="n"/>
      <c r="F78" s="5" t="n"/>
      <c r="G78" s="6" t="n"/>
      <c r="H78" s="16" t="n"/>
      <c r="I78" s="16" t="n"/>
      <c r="J78" s="15">
        <f>IF(AND(ISNUMBER(H78),ISNUMBER(I78)),I78-H78+1,"")</f>
        <v/>
      </c>
      <c r="K78" s="5" t="n"/>
      <c r="L78" s="5" t="n"/>
      <c r="M78" s="5" t="n"/>
      <c r="N78" s="5" t="n"/>
      <c r="O78" s="5" t="n"/>
      <c r="Q78" s="10">
        <f>IF(TRIM(G78&amp;"")="","",TRIM(G78&amp;""))</f>
        <v/>
      </c>
      <c r="R78" s="10">
        <f>IF(TRIM(B78&amp;"")="","",IFERROR(INDEX(코드표!$K$2:$K$101,MATCH(TRIM(B78&amp;""),코드표!$J$2:$J$101,0)),"⚠"&amp;TRIM(B78&amp;"")))</f>
        <v/>
      </c>
      <c r="S78" s="10">
        <f>IF(TRIM(K78&amp;"")="","",IFERROR(INDEX(코드표!$K$2:$K$101,MATCH(TRIM(K78&amp;""),코드표!$J$2:$J$101,0)),"⚠"&amp;TRIM(K78&amp;"")))</f>
        <v/>
      </c>
      <c r="T78" s="10">
        <f>IF(TRIM(M78&amp;"")="","",IF(ISNUMBER(MATCH(TRIM(M78&amp;""),코드표!$C$2:$C$11,0)),TRIM(M78&amp;""),"⚠"&amp;TRIM(M78&amp;"")))</f>
        <v/>
      </c>
      <c r="U78" s="10">
        <f>IF(TRIM(L78&amp;"")="","",IFERROR(INDEX(코드표!$G$2:$G$101,MATCH(TRIM(L78&amp;""),코드표!$F$2:$F$101,0)),"⚠"&amp;TRIM(L78&amp;"")))</f>
        <v/>
      </c>
      <c r="V78" s="10">
        <f>IF(AND(ISNUMBER(H78),ISNUMBER(I78)),I78-H78+1,"")</f>
        <v/>
      </c>
      <c r="W78" s="17">
        <f>IF(ISNUMBER(H78),MAX(0,MIN(IF(ISNUMBER(I78),I78,EOMONTH(요약!$B$3,0)),EOMONTH(요약!$B$3,0))-MAX(H78,요약!$B$3)+1),0)</f>
        <v/>
      </c>
      <c r="X78" s="10">
        <f>IF(OR(NOT(ISNUMBER(H78)),Q78=""),"",IF(TODAY()&lt;H78,"파견예정",IF(AND(ISNUMBER(I78),TODAY()&gt;I78),"파견종료","파견중")))</f>
        <v/>
      </c>
      <c r="Y78" s="10">
        <f>IF(OR(Q78="",X78=""),"",Q78&amp;"|"&amp;X78)</f>
        <v/>
      </c>
      <c r="Z78" s="10">
        <f>IF(AND(Q78&lt;&gt;"",W78&gt;0),Q78&amp;"|월","")</f>
        <v/>
      </c>
      <c r="AA78" s="10">
        <f>IF(COUNTA(B78:N78)=0,"",IF(Q78="","등록번호 없음",IF(LEFT(R78,1)="⚠","모병원명 미등록",IF(S78="","파견병원 입력",IF(LEFT(S78,1)="⚠","파견병원명 미등록",IF(LEFT(U78,1)="⚠","파견과목 미등록",IF(OR(T78="",LEFT(T78,1)="⚠"),"파견근거 확인",IF(NOT(AND(ISNUMBER(H78),ISNUMBER(I78))),"날짜 형식/누락",IF(I78&lt;H78,"종료일&lt;시작일","")))))))))</f>
        <v/>
      </c>
      <c r="AB78" s="11">
        <f>IF(ISNUMBER(SEARCH("다기관",TRIM(N78&amp;" "&amp;O78))),IFERROR(DATE(VALUE(MID(TRIM(N78&amp;" "&amp;O78),1,4)),VALUE(MID(TRIM(N78&amp;" "&amp;O78),6,2)),VALUE(MID(TRIM(N78&amp;" "&amp;O78),9,2))),IF(ISNUMBER(H78),H78,"")),"")</f>
        <v/>
      </c>
      <c r="AC78" s="11">
        <f>IF(ISNUMBER(SEARCH("다기관",TRIM(N78&amp;" "&amp;O78))),IFERROR(DATE(VALUE(MID(TRIM(N78&amp;" "&amp;O78),12,4)),VALUE(MID(TRIM(N78&amp;" "&amp;O78),17,2)),VALUE(MID(TRIM(N78&amp;" "&amp;O78),20,2))),IF(ISNUMBER(I78),I78,"")),"")</f>
        <v/>
      </c>
      <c r="AD78" s="17">
        <f>IF(AND(ISNUMBER(AB78),ISNUMBER(AC78)),MAX(0,MIN(AC78,EOMONTH(요약!$B$3,0))-MAX(AB78,요약!$B$3)+1),0)</f>
        <v/>
      </c>
      <c r="AE78" s="10">
        <f>IF(AND(Q78&lt;&gt;"",ISNUMBER(AB78)),Q78&amp;"|다기관","")</f>
        <v/>
      </c>
    </row>
    <row r="79">
      <c r="A79" s="15">
        <f>IF(F79="","",ROW()-3)</f>
        <v/>
      </c>
      <c r="B79" s="5" t="n"/>
      <c r="C79" s="15" t="n"/>
      <c r="D79" s="5" t="n"/>
      <c r="E79" s="15" t="n"/>
      <c r="F79" s="5" t="n"/>
      <c r="G79" s="6" t="n"/>
      <c r="H79" s="16" t="n"/>
      <c r="I79" s="16" t="n"/>
      <c r="J79" s="15">
        <f>IF(AND(ISNUMBER(H79),ISNUMBER(I79)),I79-H79+1,"")</f>
        <v/>
      </c>
      <c r="K79" s="5" t="n"/>
      <c r="L79" s="5" t="n"/>
      <c r="M79" s="5" t="n"/>
      <c r="N79" s="5" t="n"/>
      <c r="O79" s="5" t="n"/>
      <c r="Q79" s="10">
        <f>IF(TRIM(G79&amp;"")="","",TRIM(G79&amp;""))</f>
        <v/>
      </c>
      <c r="R79" s="10">
        <f>IF(TRIM(B79&amp;"")="","",IFERROR(INDEX(코드표!$K$2:$K$101,MATCH(TRIM(B79&amp;""),코드표!$J$2:$J$101,0)),"⚠"&amp;TRIM(B79&amp;"")))</f>
        <v/>
      </c>
      <c r="S79" s="10">
        <f>IF(TRIM(K79&amp;"")="","",IFERROR(INDEX(코드표!$K$2:$K$101,MATCH(TRIM(K79&amp;""),코드표!$J$2:$J$101,0)),"⚠"&amp;TRIM(K79&amp;"")))</f>
        <v/>
      </c>
      <c r="T79" s="10">
        <f>IF(TRIM(M79&amp;"")="","",IF(ISNUMBER(MATCH(TRIM(M79&amp;""),코드표!$C$2:$C$11,0)),TRIM(M79&amp;""),"⚠"&amp;TRIM(M79&amp;"")))</f>
        <v/>
      </c>
      <c r="U79" s="10">
        <f>IF(TRIM(L79&amp;"")="","",IFERROR(INDEX(코드표!$G$2:$G$101,MATCH(TRIM(L79&amp;""),코드표!$F$2:$F$101,0)),"⚠"&amp;TRIM(L79&amp;"")))</f>
        <v/>
      </c>
      <c r="V79" s="10">
        <f>IF(AND(ISNUMBER(H79),ISNUMBER(I79)),I79-H79+1,"")</f>
        <v/>
      </c>
      <c r="W79" s="17">
        <f>IF(ISNUMBER(H79),MAX(0,MIN(IF(ISNUMBER(I79),I79,EOMONTH(요약!$B$3,0)),EOMONTH(요약!$B$3,0))-MAX(H79,요약!$B$3)+1),0)</f>
        <v/>
      </c>
      <c r="X79" s="10">
        <f>IF(OR(NOT(ISNUMBER(H79)),Q79=""),"",IF(TODAY()&lt;H79,"파견예정",IF(AND(ISNUMBER(I79),TODAY()&gt;I79),"파견종료","파견중")))</f>
        <v/>
      </c>
      <c r="Y79" s="10">
        <f>IF(OR(Q79="",X79=""),"",Q79&amp;"|"&amp;X79)</f>
        <v/>
      </c>
      <c r="Z79" s="10">
        <f>IF(AND(Q79&lt;&gt;"",W79&gt;0),Q79&amp;"|월","")</f>
        <v/>
      </c>
      <c r="AA79" s="10">
        <f>IF(COUNTA(B79:N79)=0,"",IF(Q79="","등록번호 없음",IF(LEFT(R79,1)="⚠","모병원명 미등록",IF(S79="","파견병원 입력",IF(LEFT(S79,1)="⚠","파견병원명 미등록",IF(LEFT(U79,1)="⚠","파견과목 미등록",IF(OR(T79="",LEFT(T79,1)="⚠"),"파견근거 확인",IF(NOT(AND(ISNUMBER(H79),ISNUMBER(I79))),"날짜 형식/누락",IF(I79&lt;H79,"종료일&lt;시작일","")))))))))</f>
        <v/>
      </c>
      <c r="AB79" s="11">
        <f>IF(ISNUMBER(SEARCH("다기관",TRIM(N79&amp;" "&amp;O79))),IFERROR(DATE(VALUE(MID(TRIM(N79&amp;" "&amp;O79),1,4)),VALUE(MID(TRIM(N79&amp;" "&amp;O79),6,2)),VALUE(MID(TRIM(N79&amp;" "&amp;O79),9,2))),IF(ISNUMBER(H79),H79,"")),"")</f>
        <v/>
      </c>
      <c r="AC79" s="11">
        <f>IF(ISNUMBER(SEARCH("다기관",TRIM(N79&amp;" "&amp;O79))),IFERROR(DATE(VALUE(MID(TRIM(N79&amp;" "&amp;O79),12,4)),VALUE(MID(TRIM(N79&amp;" "&amp;O79),17,2)),VALUE(MID(TRIM(N79&amp;" "&amp;O79),20,2))),IF(ISNUMBER(I79),I79,"")),"")</f>
        <v/>
      </c>
      <c r="AD79" s="17">
        <f>IF(AND(ISNUMBER(AB79),ISNUMBER(AC79)),MAX(0,MIN(AC79,EOMONTH(요약!$B$3,0))-MAX(AB79,요약!$B$3)+1),0)</f>
        <v/>
      </c>
      <c r="AE79" s="10">
        <f>IF(AND(Q79&lt;&gt;"",ISNUMBER(AB79)),Q79&amp;"|다기관","")</f>
        <v/>
      </c>
    </row>
    <row r="80">
      <c r="A80" s="15">
        <f>IF(F80="","",ROW()-3)</f>
        <v/>
      </c>
      <c r="B80" s="5" t="n"/>
      <c r="C80" s="15" t="n"/>
      <c r="D80" s="5" t="n"/>
      <c r="E80" s="15" t="n"/>
      <c r="F80" s="5" t="n"/>
      <c r="G80" s="6" t="n"/>
      <c r="H80" s="16" t="n"/>
      <c r="I80" s="16" t="n"/>
      <c r="J80" s="15">
        <f>IF(AND(ISNUMBER(H80),ISNUMBER(I80)),I80-H80+1,"")</f>
        <v/>
      </c>
      <c r="K80" s="5" t="n"/>
      <c r="L80" s="5" t="n"/>
      <c r="M80" s="5" t="n"/>
      <c r="N80" s="5" t="n"/>
      <c r="O80" s="5" t="n"/>
      <c r="Q80" s="10">
        <f>IF(TRIM(G80&amp;"")="","",TRIM(G80&amp;""))</f>
        <v/>
      </c>
      <c r="R80" s="10">
        <f>IF(TRIM(B80&amp;"")="","",IFERROR(INDEX(코드표!$K$2:$K$101,MATCH(TRIM(B80&amp;""),코드표!$J$2:$J$101,0)),"⚠"&amp;TRIM(B80&amp;"")))</f>
        <v/>
      </c>
      <c r="S80" s="10">
        <f>IF(TRIM(K80&amp;"")="","",IFERROR(INDEX(코드표!$K$2:$K$101,MATCH(TRIM(K80&amp;""),코드표!$J$2:$J$101,0)),"⚠"&amp;TRIM(K80&amp;"")))</f>
        <v/>
      </c>
      <c r="T80" s="10">
        <f>IF(TRIM(M80&amp;"")="","",IF(ISNUMBER(MATCH(TRIM(M80&amp;""),코드표!$C$2:$C$11,0)),TRIM(M80&amp;""),"⚠"&amp;TRIM(M80&amp;"")))</f>
        <v/>
      </c>
      <c r="U80" s="10">
        <f>IF(TRIM(L80&amp;"")="","",IFERROR(INDEX(코드표!$G$2:$G$101,MATCH(TRIM(L80&amp;""),코드표!$F$2:$F$101,0)),"⚠"&amp;TRIM(L80&amp;"")))</f>
        <v/>
      </c>
      <c r="V80" s="10">
        <f>IF(AND(ISNUMBER(H80),ISNUMBER(I80)),I80-H80+1,"")</f>
        <v/>
      </c>
      <c r="W80" s="17">
        <f>IF(ISNUMBER(H80),MAX(0,MIN(IF(ISNUMBER(I80),I80,EOMONTH(요약!$B$3,0)),EOMONTH(요약!$B$3,0))-MAX(H80,요약!$B$3)+1),0)</f>
        <v/>
      </c>
      <c r="X80" s="10">
        <f>IF(OR(NOT(ISNUMBER(H80)),Q80=""),"",IF(TODAY()&lt;H80,"파견예정",IF(AND(ISNUMBER(I80),TODAY()&gt;I80),"파견종료","파견중")))</f>
        <v/>
      </c>
      <c r="Y80" s="10">
        <f>IF(OR(Q80="",X80=""),"",Q80&amp;"|"&amp;X80)</f>
        <v/>
      </c>
      <c r="Z80" s="10">
        <f>IF(AND(Q80&lt;&gt;"",W80&gt;0),Q80&amp;"|월","")</f>
        <v/>
      </c>
      <c r="AA80" s="10">
        <f>IF(COUNTA(B80:N80)=0,"",IF(Q80="","등록번호 없음",IF(LEFT(R80,1)="⚠","모병원명 미등록",IF(S80="","파견병원 입력",IF(LEFT(S80,1)="⚠","파견병원명 미등록",IF(LEFT(U80,1)="⚠","파견과목 미등록",IF(OR(T80="",LEFT(T80,1)="⚠"),"파견근거 확인",IF(NOT(AND(ISNUMBER(H80),ISNUMBER(I80))),"날짜 형식/누락",IF(I80&lt;H80,"종료일&lt;시작일","")))))))))</f>
        <v/>
      </c>
      <c r="AB80" s="11">
        <f>IF(ISNUMBER(SEARCH("다기관",TRIM(N80&amp;" "&amp;O80))),IFERROR(DATE(VALUE(MID(TRIM(N80&amp;" "&amp;O80),1,4)),VALUE(MID(TRIM(N80&amp;" "&amp;O80),6,2)),VALUE(MID(TRIM(N80&amp;" "&amp;O80),9,2))),IF(ISNUMBER(H80),H80,"")),"")</f>
        <v/>
      </c>
      <c r="AC80" s="11">
        <f>IF(ISNUMBER(SEARCH("다기관",TRIM(N80&amp;" "&amp;O80))),IFERROR(DATE(VALUE(MID(TRIM(N80&amp;" "&amp;O80),12,4)),VALUE(MID(TRIM(N80&amp;" "&amp;O80),17,2)),VALUE(MID(TRIM(N80&amp;" "&amp;O80),20,2))),IF(ISNUMBER(I80),I80,"")),"")</f>
        <v/>
      </c>
      <c r="AD80" s="17">
        <f>IF(AND(ISNUMBER(AB80),ISNUMBER(AC80)),MAX(0,MIN(AC80,EOMONTH(요약!$B$3,0))-MAX(AB80,요약!$B$3)+1),0)</f>
        <v/>
      </c>
      <c r="AE80" s="10">
        <f>IF(AND(Q80&lt;&gt;"",ISNUMBER(AB80)),Q80&amp;"|다기관","")</f>
        <v/>
      </c>
    </row>
    <row r="81">
      <c r="A81" s="15">
        <f>IF(F81="","",ROW()-3)</f>
        <v/>
      </c>
      <c r="B81" s="5" t="n"/>
      <c r="C81" s="15" t="n"/>
      <c r="D81" s="5" t="n"/>
      <c r="E81" s="15" t="n"/>
      <c r="F81" s="5" t="n"/>
      <c r="G81" s="6" t="n"/>
      <c r="H81" s="16" t="n"/>
      <c r="I81" s="16" t="n"/>
      <c r="J81" s="15">
        <f>IF(AND(ISNUMBER(H81),ISNUMBER(I81)),I81-H81+1,"")</f>
        <v/>
      </c>
      <c r="K81" s="5" t="n"/>
      <c r="L81" s="5" t="n"/>
      <c r="M81" s="5" t="n"/>
      <c r="N81" s="5" t="n"/>
      <c r="O81" s="5" t="n"/>
      <c r="Q81" s="10">
        <f>IF(TRIM(G81&amp;"")="","",TRIM(G81&amp;""))</f>
        <v/>
      </c>
      <c r="R81" s="10">
        <f>IF(TRIM(B81&amp;"")="","",IFERROR(INDEX(코드표!$K$2:$K$101,MATCH(TRIM(B81&amp;""),코드표!$J$2:$J$101,0)),"⚠"&amp;TRIM(B81&amp;"")))</f>
        <v/>
      </c>
      <c r="S81" s="10">
        <f>IF(TRIM(K81&amp;"")="","",IFERROR(INDEX(코드표!$K$2:$K$101,MATCH(TRIM(K81&amp;""),코드표!$J$2:$J$101,0)),"⚠"&amp;TRIM(K81&amp;"")))</f>
        <v/>
      </c>
      <c r="T81" s="10">
        <f>IF(TRIM(M81&amp;"")="","",IF(ISNUMBER(MATCH(TRIM(M81&amp;""),코드표!$C$2:$C$11,0)),TRIM(M81&amp;""),"⚠"&amp;TRIM(M81&amp;"")))</f>
        <v/>
      </c>
      <c r="U81" s="10">
        <f>IF(TRIM(L81&amp;"")="","",IFERROR(INDEX(코드표!$G$2:$G$101,MATCH(TRIM(L81&amp;""),코드표!$F$2:$F$101,0)),"⚠"&amp;TRIM(L81&amp;"")))</f>
        <v/>
      </c>
      <c r="V81" s="10">
        <f>IF(AND(ISNUMBER(H81),ISNUMBER(I81)),I81-H81+1,"")</f>
        <v/>
      </c>
      <c r="W81" s="17">
        <f>IF(ISNUMBER(H81),MAX(0,MIN(IF(ISNUMBER(I81),I81,EOMONTH(요약!$B$3,0)),EOMONTH(요약!$B$3,0))-MAX(H81,요약!$B$3)+1),0)</f>
        <v/>
      </c>
      <c r="X81" s="10">
        <f>IF(OR(NOT(ISNUMBER(H81)),Q81=""),"",IF(TODAY()&lt;H81,"파견예정",IF(AND(ISNUMBER(I81),TODAY()&gt;I81),"파견종료","파견중")))</f>
        <v/>
      </c>
      <c r="Y81" s="10">
        <f>IF(OR(Q81="",X81=""),"",Q81&amp;"|"&amp;X81)</f>
        <v/>
      </c>
      <c r="Z81" s="10">
        <f>IF(AND(Q81&lt;&gt;"",W81&gt;0),Q81&amp;"|월","")</f>
        <v/>
      </c>
      <c r="AA81" s="10">
        <f>IF(COUNTA(B81:N81)=0,"",IF(Q81="","등록번호 없음",IF(LEFT(R81,1)="⚠","모병원명 미등록",IF(S81="","파견병원 입력",IF(LEFT(S81,1)="⚠","파견병원명 미등록",IF(LEFT(U81,1)="⚠","파견과목 미등록",IF(OR(T81="",LEFT(T81,1)="⚠"),"파견근거 확인",IF(NOT(AND(ISNUMBER(H81),ISNUMBER(I81))),"날짜 형식/누락",IF(I81&lt;H81,"종료일&lt;시작일","")))))))))</f>
        <v/>
      </c>
      <c r="AB81" s="11">
        <f>IF(ISNUMBER(SEARCH("다기관",TRIM(N81&amp;" "&amp;O81))),IFERROR(DATE(VALUE(MID(TRIM(N81&amp;" "&amp;O81),1,4)),VALUE(MID(TRIM(N81&amp;" "&amp;O81),6,2)),VALUE(MID(TRIM(N81&amp;" "&amp;O81),9,2))),IF(ISNUMBER(H81),H81,"")),"")</f>
        <v/>
      </c>
      <c r="AC81" s="11">
        <f>IF(ISNUMBER(SEARCH("다기관",TRIM(N81&amp;" "&amp;O81))),IFERROR(DATE(VALUE(MID(TRIM(N81&amp;" "&amp;O81),12,4)),VALUE(MID(TRIM(N81&amp;" "&amp;O81),17,2)),VALUE(MID(TRIM(N81&amp;" "&amp;O81),20,2))),IF(ISNUMBER(I81),I81,"")),"")</f>
        <v/>
      </c>
      <c r="AD81" s="17">
        <f>IF(AND(ISNUMBER(AB81),ISNUMBER(AC81)),MAX(0,MIN(AC81,EOMONTH(요약!$B$3,0))-MAX(AB81,요약!$B$3)+1),0)</f>
        <v/>
      </c>
      <c r="AE81" s="10">
        <f>IF(AND(Q81&lt;&gt;"",ISNUMBER(AB81)),Q81&amp;"|다기관","")</f>
        <v/>
      </c>
    </row>
    <row r="82">
      <c r="A82" s="15">
        <f>IF(F82="","",ROW()-3)</f>
        <v/>
      </c>
      <c r="B82" s="5" t="n"/>
      <c r="C82" s="15" t="n"/>
      <c r="D82" s="5" t="n"/>
      <c r="E82" s="15" t="n"/>
      <c r="F82" s="5" t="n"/>
      <c r="G82" s="6" t="n"/>
      <c r="H82" s="16" t="n"/>
      <c r="I82" s="16" t="n"/>
      <c r="J82" s="15">
        <f>IF(AND(ISNUMBER(H82),ISNUMBER(I82)),I82-H82+1,"")</f>
        <v/>
      </c>
      <c r="K82" s="5" t="n"/>
      <c r="L82" s="5" t="n"/>
      <c r="M82" s="5" t="n"/>
      <c r="N82" s="5" t="n"/>
      <c r="O82" s="5" t="n"/>
      <c r="Q82" s="10">
        <f>IF(TRIM(G82&amp;"")="","",TRIM(G82&amp;""))</f>
        <v/>
      </c>
      <c r="R82" s="10">
        <f>IF(TRIM(B82&amp;"")="","",IFERROR(INDEX(코드표!$K$2:$K$101,MATCH(TRIM(B82&amp;""),코드표!$J$2:$J$101,0)),"⚠"&amp;TRIM(B82&amp;"")))</f>
        <v/>
      </c>
      <c r="S82" s="10">
        <f>IF(TRIM(K82&amp;"")="","",IFERROR(INDEX(코드표!$K$2:$K$101,MATCH(TRIM(K82&amp;""),코드표!$J$2:$J$101,0)),"⚠"&amp;TRIM(K82&amp;"")))</f>
        <v/>
      </c>
      <c r="T82" s="10">
        <f>IF(TRIM(M82&amp;"")="","",IF(ISNUMBER(MATCH(TRIM(M82&amp;""),코드표!$C$2:$C$11,0)),TRIM(M82&amp;""),"⚠"&amp;TRIM(M82&amp;"")))</f>
        <v/>
      </c>
      <c r="U82" s="10">
        <f>IF(TRIM(L82&amp;"")="","",IFERROR(INDEX(코드표!$G$2:$G$101,MATCH(TRIM(L82&amp;""),코드표!$F$2:$F$101,0)),"⚠"&amp;TRIM(L82&amp;"")))</f>
        <v/>
      </c>
      <c r="V82" s="10">
        <f>IF(AND(ISNUMBER(H82),ISNUMBER(I82)),I82-H82+1,"")</f>
        <v/>
      </c>
      <c r="W82" s="17">
        <f>IF(ISNUMBER(H82),MAX(0,MIN(IF(ISNUMBER(I82),I82,EOMONTH(요약!$B$3,0)),EOMONTH(요약!$B$3,0))-MAX(H82,요약!$B$3)+1),0)</f>
        <v/>
      </c>
      <c r="X82" s="10">
        <f>IF(OR(NOT(ISNUMBER(H82)),Q82=""),"",IF(TODAY()&lt;H82,"파견예정",IF(AND(ISNUMBER(I82),TODAY()&gt;I82),"파견종료","파견중")))</f>
        <v/>
      </c>
      <c r="Y82" s="10">
        <f>IF(OR(Q82="",X82=""),"",Q82&amp;"|"&amp;X82)</f>
        <v/>
      </c>
      <c r="Z82" s="10">
        <f>IF(AND(Q82&lt;&gt;"",W82&gt;0),Q82&amp;"|월","")</f>
        <v/>
      </c>
      <c r="AA82" s="10">
        <f>IF(COUNTA(B82:N82)=0,"",IF(Q82="","등록번호 없음",IF(LEFT(R82,1)="⚠","모병원명 미등록",IF(S82="","파견병원 입력",IF(LEFT(S82,1)="⚠","파견병원명 미등록",IF(LEFT(U82,1)="⚠","파견과목 미등록",IF(OR(T82="",LEFT(T82,1)="⚠"),"파견근거 확인",IF(NOT(AND(ISNUMBER(H82),ISNUMBER(I82))),"날짜 형식/누락",IF(I82&lt;H82,"종료일&lt;시작일","")))))))))</f>
        <v/>
      </c>
      <c r="AB82" s="11">
        <f>IF(ISNUMBER(SEARCH("다기관",TRIM(N82&amp;" "&amp;O82))),IFERROR(DATE(VALUE(MID(TRIM(N82&amp;" "&amp;O82),1,4)),VALUE(MID(TRIM(N82&amp;" "&amp;O82),6,2)),VALUE(MID(TRIM(N82&amp;" "&amp;O82),9,2))),IF(ISNUMBER(H82),H82,"")),"")</f>
        <v/>
      </c>
      <c r="AC82" s="11">
        <f>IF(ISNUMBER(SEARCH("다기관",TRIM(N82&amp;" "&amp;O82))),IFERROR(DATE(VALUE(MID(TRIM(N82&amp;" "&amp;O82),12,4)),VALUE(MID(TRIM(N82&amp;" "&amp;O82),17,2)),VALUE(MID(TRIM(N82&amp;" "&amp;O82),20,2))),IF(ISNUMBER(I82),I82,"")),"")</f>
        <v/>
      </c>
      <c r="AD82" s="17">
        <f>IF(AND(ISNUMBER(AB82),ISNUMBER(AC82)),MAX(0,MIN(AC82,EOMONTH(요약!$B$3,0))-MAX(AB82,요약!$B$3)+1),0)</f>
        <v/>
      </c>
      <c r="AE82" s="10">
        <f>IF(AND(Q82&lt;&gt;"",ISNUMBER(AB82)),Q82&amp;"|다기관","")</f>
        <v/>
      </c>
    </row>
    <row r="83">
      <c r="A83" s="15">
        <f>IF(F83="","",ROW()-3)</f>
        <v/>
      </c>
      <c r="B83" s="5" t="n"/>
      <c r="C83" s="15" t="n"/>
      <c r="D83" s="5" t="n"/>
      <c r="E83" s="15" t="n"/>
      <c r="F83" s="5" t="n"/>
      <c r="G83" s="6" t="n"/>
      <c r="H83" s="16" t="n"/>
      <c r="I83" s="16" t="n"/>
      <c r="J83" s="15">
        <f>IF(AND(ISNUMBER(H83),ISNUMBER(I83)),I83-H83+1,"")</f>
        <v/>
      </c>
      <c r="K83" s="5" t="n"/>
      <c r="L83" s="5" t="n"/>
      <c r="M83" s="5" t="n"/>
      <c r="N83" s="5" t="n"/>
      <c r="O83" s="5" t="n"/>
      <c r="Q83" s="10">
        <f>IF(TRIM(G83&amp;"")="","",TRIM(G83&amp;""))</f>
        <v/>
      </c>
      <c r="R83" s="10">
        <f>IF(TRIM(B83&amp;"")="","",IFERROR(INDEX(코드표!$K$2:$K$101,MATCH(TRIM(B83&amp;""),코드표!$J$2:$J$101,0)),"⚠"&amp;TRIM(B83&amp;"")))</f>
        <v/>
      </c>
      <c r="S83" s="10">
        <f>IF(TRIM(K83&amp;"")="","",IFERROR(INDEX(코드표!$K$2:$K$101,MATCH(TRIM(K83&amp;""),코드표!$J$2:$J$101,0)),"⚠"&amp;TRIM(K83&amp;"")))</f>
        <v/>
      </c>
      <c r="T83" s="10">
        <f>IF(TRIM(M83&amp;"")="","",IF(ISNUMBER(MATCH(TRIM(M83&amp;""),코드표!$C$2:$C$11,0)),TRIM(M83&amp;""),"⚠"&amp;TRIM(M83&amp;"")))</f>
        <v/>
      </c>
      <c r="U83" s="10">
        <f>IF(TRIM(L83&amp;"")="","",IFERROR(INDEX(코드표!$G$2:$G$101,MATCH(TRIM(L83&amp;""),코드표!$F$2:$F$101,0)),"⚠"&amp;TRIM(L83&amp;"")))</f>
        <v/>
      </c>
      <c r="V83" s="10">
        <f>IF(AND(ISNUMBER(H83),ISNUMBER(I83)),I83-H83+1,"")</f>
        <v/>
      </c>
      <c r="W83" s="17">
        <f>IF(ISNUMBER(H83),MAX(0,MIN(IF(ISNUMBER(I83),I83,EOMONTH(요약!$B$3,0)),EOMONTH(요약!$B$3,0))-MAX(H83,요약!$B$3)+1),0)</f>
        <v/>
      </c>
      <c r="X83" s="10">
        <f>IF(OR(NOT(ISNUMBER(H83)),Q83=""),"",IF(TODAY()&lt;H83,"파견예정",IF(AND(ISNUMBER(I83),TODAY()&gt;I83),"파견종료","파견중")))</f>
        <v/>
      </c>
      <c r="Y83" s="10">
        <f>IF(OR(Q83="",X83=""),"",Q83&amp;"|"&amp;X83)</f>
        <v/>
      </c>
      <c r="Z83" s="10">
        <f>IF(AND(Q83&lt;&gt;"",W83&gt;0),Q83&amp;"|월","")</f>
        <v/>
      </c>
      <c r="AA83" s="10">
        <f>IF(COUNTA(B83:N83)=0,"",IF(Q83="","등록번호 없음",IF(LEFT(R83,1)="⚠","모병원명 미등록",IF(S83="","파견병원 입력",IF(LEFT(S83,1)="⚠","파견병원명 미등록",IF(LEFT(U83,1)="⚠","파견과목 미등록",IF(OR(T83="",LEFT(T83,1)="⚠"),"파견근거 확인",IF(NOT(AND(ISNUMBER(H83),ISNUMBER(I83))),"날짜 형식/누락",IF(I83&lt;H83,"종료일&lt;시작일","")))))))))</f>
        <v/>
      </c>
      <c r="AB83" s="11">
        <f>IF(ISNUMBER(SEARCH("다기관",TRIM(N83&amp;" "&amp;O83))),IFERROR(DATE(VALUE(MID(TRIM(N83&amp;" "&amp;O83),1,4)),VALUE(MID(TRIM(N83&amp;" "&amp;O83),6,2)),VALUE(MID(TRIM(N83&amp;" "&amp;O83),9,2))),IF(ISNUMBER(H83),H83,"")),"")</f>
        <v/>
      </c>
      <c r="AC83" s="11">
        <f>IF(ISNUMBER(SEARCH("다기관",TRIM(N83&amp;" "&amp;O83))),IFERROR(DATE(VALUE(MID(TRIM(N83&amp;" "&amp;O83),12,4)),VALUE(MID(TRIM(N83&amp;" "&amp;O83),17,2)),VALUE(MID(TRIM(N83&amp;" "&amp;O83),20,2))),IF(ISNUMBER(I83),I83,"")),"")</f>
        <v/>
      </c>
      <c r="AD83" s="17">
        <f>IF(AND(ISNUMBER(AB83),ISNUMBER(AC83)),MAX(0,MIN(AC83,EOMONTH(요약!$B$3,0))-MAX(AB83,요약!$B$3)+1),0)</f>
        <v/>
      </c>
      <c r="AE83" s="10">
        <f>IF(AND(Q83&lt;&gt;"",ISNUMBER(AB83)),Q83&amp;"|다기관","")</f>
        <v/>
      </c>
    </row>
  </sheetData>
  <mergeCells count="14">
    <mergeCell ref="M1:M3"/>
    <mergeCell ref="N1:N3"/>
    <mergeCell ref="A1:A3"/>
    <mergeCell ref="D1:D3"/>
    <mergeCell ref="B1:B3"/>
    <mergeCell ref="G1:G3"/>
    <mergeCell ref="C1:C3"/>
    <mergeCell ref="F1:F3"/>
    <mergeCell ref="K1:K3"/>
    <mergeCell ref="H1:H3"/>
    <mergeCell ref="E1:E3"/>
    <mergeCell ref="I1:I3"/>
    <mergeCell ref="L1:L3"/>
    <mergeCell ref="J1:J3"/>
  </mergeCells>
  <conditionalFormatting sqref="A4:O83">
    <cfRule type="expression" priority="1" dxfId="0">
      <formula>$AA4&lt;&gt;""</formula>
    </cfRule>
  </conditionalFormatting>
  <conditionalFormatting sqref="R4:U83">
    <cfRule type="expression" priority="2" dxfId="2">
      <formula>LEFT(R4,1)="⚠"</formula>
    </cfRule>
  </conditionalFormatting>
  <conditionalFormatting sqref="AA4:AA83">
    <cfRule type="expression" priority="3" dxfId="2">
      <formula>$AA4&lt;&gt;""</formula>
    </cfRule>
  </conditionalFormatting>
  <dataValidations count="7">
    <dataValidation sqref="B4:B83" showDropDown="0" showInputMessage="0" showErrorMessage="1" allowBlank="1" errorTitle="등록되지 않은 값" error="병원명 목록에 없는 값입니다. 새로운 항목이면 '코드표' 시트에 먼저 추가한 뒤 입력하세요." type="list" errorStyle="stop">
      <formula1>=코드표!$J$2:$J$101</formula1>
    </dataValidation>
    <dataValidation sqref="K4:K83" showDropDown="0" showInputMessage="0" showErrorMessage="1" allowBlank="1" errorTitle="등록되지 않은 값" error="병원명 목록에 없는 값입니다. 새로운 항목이면 '코드표' 시트에 먼저 추가한 뒤 입력하세요." type="list" errorStyle="stop">
      <formula1>=코드표!$J$2:$J$101</formula1>
    </dataValidation>
    <dataValidation sqref="L4:L83" showDropDown="0" showInputMessage="0" showErrorMessage="1" allowBlank="1" errorTitle="등록되지 않은 값" error="진료과 목록에 없는 값입니다. 새로운 항목이면 '코드표' 시트에 먼저 추가한 뒤 입력하세요." type="list" errorStyle="stop">
      <formula1>=코드표!$F$2:$F$101</formula1>
    </dataValidation>
    <dataValidation sqref="M4:M83" showDropDown="0" showInputMessage="0" showErrorMessage="1" allowBlank="1" errorTitle="등록되지 않은 값" error="파견근거 목록에 없는 값입니다. 새로운 항목이면 '코드표' 시트에 먼저 추가한 뒤 입력하세요." type="list" errorStyle="stop">
      <formula1>=코드표!$C$2:$C$11</formula1>
    </dataValidation>
    <dataValidation sqref="C4:C83" showDropDown="0" showInputMessage="0" showErrorMessage="1" allowBlank="1" errorTitle="수련종별" error="I(인턴) 또는 R(레지던트)로 입력하세요." type="list">
      <formula1>"I,R"</formula1>
    </dataValidation>
    <dataValidation sqref="H4:I83" showDropDown="0" showInputMessage="0" showErrorMessage="1" allowBlank="1" errorTitle="날짜 형식" error="yyyy-mm-dd 형식의 날짜를 입력하세요." type="date" operator="greaterThan">
      <formula1>1900-01-01</formula1>
    </dataValidation>
    <dataValidation sqref="I4:I83" showDropDown="0" showInputMessage="0" showErrorMessage="1" allowBlank="1" errorTitle="종료일 오류" error="종료일은 시작일 이후여야 합니다." type="custom">
      <formula1>OR(I4="",H4="",I4&gt;=H4)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0" customWidth="1" min="3" max="3"/>
    <col width="6" customWidth="1" min="4" max="4"/>
    <col width="12" customWidth="1" min="5" max="5"/>
    <col width="14" customWidth="1" min="6" max="6"/>
    <col width="11" customWidth="1" min="7" max="7"/>
    <col width="10" customWidth="1" min="8" max="8"/>
    <col width="12" customWidth="1" min="9" max="9"/>
    <col width="14" customWidth="1" min="10" max="10"/>
    <col width="13" customWidth="1" min="11" max="11"/>
    <col width="9" customWidth="1" min="12" max="12"/>
    <col width="11" customWidth="1" min="13" max="13"/>
    <col width="13" customWidth="1" min="14" max="14"/>
    <col width="16" customWidth="1" min="15" max="15"/>
    <col width="10" customWidth="1" min="16" max="16"/>
    <col width="11" customWidth="1" min="17" max="17"/>
    <col width="15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1" customWidth="1" min="24" max="24"/>
    <col width="14" customWidth="1" min="25" max="25"/>
    <col width="26" customWidth="1" min="26" max="26"/>
    <col width="20" customWidth="1" min="27" max="27"/>
    <col width="9" customWidth="1" min="28" max="28"/>
    <col width="9" customWidth="1" min="29" max="29"/>
    <col width="18" customWidth="1" min="30" max="30"/>
    <col width="11" customWidth="1" min="31" max="31"/>
    <col width="9" customWidth="1" min="32" max="32"/>
    <col width="12" customWidth="1" min="33" max="33"/>
    <col width="10" customWidth="1" min="34" max="34"/>
    <col width="10" customWidth="1" min="35" max="35"/>
    <col width="10" customWidth="1" min="36" max="36"/>
    <col width="9" customWidth="1" min="37" max="37"/>
    <col width="26" customWidth="1" min="38" max="38"/>
  </cols>
  <sheetData>
    <row r="1" ht="42" customHeight="1">
      <c r="A1" s="12" t="inlineStr">
        <is>
          <t>번호</t>
        </is>
      </c>
      <c r="B1" s="12" t="inlineStr">
        <is>
          <t>사번</t>
        </is>
      </c>
      <c r="C1" s="9" t="inlineStr">
        <is>
          <t>이름</t>
        </is>
      </c>
      <c r="D1" s="9" t="inlineStr">
        <is>
          <t>성별</t>
        </is>
      </c>
      <c r="E1" s="9" t="inlineStr">
        <is>
          <t>생년월일</t>
        </is>
      </c>
      <c r="F1" s="9" t="inlineStr">
        <is>
          <t>수련과목</t>
        </is>
      </c>
      <c r="G1" s="9" t="inlineStr">
        <is>
          <t>연차</t>
        </is>
      </c>
      <c r="H1" s="9" t="inlineStr">
        <is>
          <t>근무지</t>
        </is>
      </c>
      <c r="I1" s="9" t="inlineStr">
        <is>
          <t>수련개시일</t>
        </is>
      </c>
      <c r="J1" s="9" t="inlineStr">
        <is>
          <t>전공의등록번호</t>
        </is>
      </c>
      <c r="K1" s="9" t="inlineStr">
        <is>
          <t>의사면허번호</t>
        </is>
      </c>
      <c r="L1" s="9" t="inlineStr">
        <is>
          <t>재직여부</t>
        </is>
      </c>
      <c r="M1" s="12" t="inlineStr">
        <is>
          <t>입사장소</t>
        </is>
      </c>
      <c r="N1" s="9" t="inlineStr">
        <is>
          <t>현재 근무병원</t>
        </is>
      </c>
      <c r="O1" s="9" t="inlineStr">
        <is>
          <t>현재 진료과</t>
        </is>
      </c>
      <c r="P1" s="9" t="inlineStr">
        <is>
          <t>파견근거</t>
        </is>
      </c>
      <c r="Q1" s="9" t="inlineStr">
        <is>
          <t>파견병원</t>
        </is>
      </c>
      <c r="R1" s="9" t="inlineStr">
        <is>
          <t>파견진료과</t>
        </is>
      </c>
      <c r="S1" s="9" t="inlineStr">
        <is>
          <t>파견시작일</t>
        </is>
      </c>
      <c r="T1" s="9" t="inlineStr">
        <is>
          <t>파견종료일</t>
        </is>
      </c>
      <c r="U1" s="9" t="inlineStr">
        <is>
          <t>파견상태</t>
        </is>
      </c>
      <c r="V1" s="9" t="inlineStr">
        <is>
          <t>파견기간(일)</t>
        </is>
      </c>
      <c r="W1" s="9" t="inlineStr">
        <is>
          <t>종료까지(일)</t>
        </is>
      </c>
      <c r="X1" s="9" t="inlineStr">
        <is>
          <t>급여기준월 파견일수</t>
        </is>
      </c>
      <c r="Y1" s="9" t="inlineStr">
        <is>
          <t>급여지급병원(기준월)</t>
        </is>
      </c>
      <c r="Z1" s="9" t="inlineStr">
        <is>
          <t>점검</t>
        </is>
      </c>
      <c r="AA1" s="12" t="inlineStr">
        <is>
          <t>비고</t>
        </is>
      </c>
      <c r="AB1" s="9" t="inlineStr">
        <is>
          <t>기본자료행</t>
        </is>
      </c>
      <c r="AC1" s="9" t="inlineStr">
        <is>
          <t>인턴계획행</t>
        </is>
      </c>
      <c r="AD1" s="9" t="inlineStr">
        <is>
          <t>인턴 이번달</t>
        </is>
      </c>
      <c r="AE1" s="9" t="inlineStr">
        <is>
          <t>소속병원</t>
        </is>
      </c>
      <c r="AF1" s="9" t="inlineStr">
        <is>
          <t>파견기록행</t>
        </is>
      </c>
      <c r="AG1" s="9" t="inlineStr">
        <is>
          <t>기준월 근무병원</t>
        </is>
      </c>
      <c r="AH1" s="9" t="inlineStr">
        <is>
          <t>서울 근무일(기준월)</t>
        </is>
      </c>
      <c r="AI1" s="9" t="inlineStr">
        <is>
          <t>구리 근무일(기준월)</t>
        </is>
      </c>
      <c r="AJ1" s="9" t="inlineStr">
        <is>
          <t>기준월 대표파견행</t>
        </is>
      </c>
      <c r="AK1" s="9" t="inlineStr">
        <is>
          <t>다기관 기록행</t>
        </is>
      </c>
      <c r="AL1" s="9" t="inlineStr">
        <is>
          <t>다기관(비고 기재 기간)</t>
        </is>
      </c>
    </row>
    <row r="2">
      <c r="A2" s="10">
        <f>IF(B2="","",ROW()-1)</f>
        <v/>
      </c>
      <c r="B2" s="18" t="inlineStr">
        <is>
          <t>2261212</t>
        </is>
      </c>
      <c r="C2" s="10">
        <f>IF($AB2="","",IF(INDEX(기본자료!$C$2:$C$301,$AB2)="","",INDEX(기본자료!$C$2:$C$301,$AB2)))</f>
        <v/>
      </c>
      <c r="D2" s="10">
        <f>IF($AB2="","",IF(INDEX(기본자료!$J$2:$J$301,$AB2)="","",INDEX(기본자료!$J$2:$J$301,$AB2)))</f>
        <v/>
      </c>
      <c r="E2" s="11">
        <f>IF($AB2="","",IF(INDEX(기본자료!$K$2:$K$301,$AB2)="","",IF(NOT(ISNUMBER(INDEX(기본자료!$K$2:$K$301,$AB2))),INDEX(기본자료!$K$2:$K$301,$AB2),IF(INDEX(기본자료!$K$2:$K$301,$AB2)&lt;1000000,INDEX(기본자료!$K$2:$K$301,$AB2),IF(AND(INDEX(기본자료!$K$2:$K$301,$AB2)&gt;=10000101,INT(MOD(INDEX(기본자료!$K$2:$K$301,$AB2),10000)/100)&gt;=1,INT(MOD(INDEX(기본자료!$K$2:$K$301,$AB2),10000)/100)&lt;=12,MOD(INDEX(기본자료!$K$2:$K$301,$AB2),100)&gt;=1,MOD(INDEX(기본자료!$K$2:$K$301,$AB2),100)&lt;=31),DATE(INT(INDEX(기본자료!$K$2:$K$301,$AB2)/10000),INT(MOD(INDEX(기본자료!$K$2:$K$301,$AB2),10000)/100),MOD(INDEX(기본자료!$K$2:$K$301,$AB2),100)),INDEX(기본자료!$K$2:$K$301,$AB2)&amp;"")))))</f>
        <v/>
      </c>
      <c r="F2" s="10">
        <f>IF($AB2="","",IF(INDEX(기본자료!$D$2:$D$301,$AB2)="","",INDEX(기본자료!$D$2:$D$301,$AB2)))</f>
        <v/>
      </c>
      <c r="G2" s="10">
        <f>IF($AB2="","",IF(INDEX(기본자료!$E$2:$E$301,$AB2)="","",INDEX(기본자료!$E$2:$E$301,$AB2)))</f>
        <v/>
      </c>
      <c r="H2" s="10">
        <f>IF($AB2="","",IF(INDEX(기본자료!$F$2:$F$301,$AB2)="","",INDEX(기본자료!$F$2:$F$301,$AB2)))</f>
        <v/>
      </c>
      <c r="I2" s="11">
        <f>IF($AB2="","",IF(INDEX(기본자료!$G$2:$G$301,$AB2)="","",IF(NOT(ISNUMBER(INDEX(기본자료!$G$2:$G$301,$AB2))),INDEX(기본자료!$G$2:$G$301,$AB2),IF(INDEX(기본자료!$G$2:$G$301,$AB2)&lt;1000000,INDEX(기본자료!$G$2:$G$301,$AB2),IF(AND(INDEX(기본자료!$G$2:$G$301,$AB2)&gt;=10000101,INT(MOD(INDEX(기본자료!$G$2:$G$301,$AB2),10000)/100)&gt;=1,INT(MOD(INDEX(기본자료!$G$2:$G$301,$AB2),10000)/100)&lt;=12,MOD(INDEX(기본자료!$G$2:$G$301,$AB2),100)&gt;=1,MOD(INDEX(기본자료!$G$2:$G$301,$AB2),100)&lt;=31),DATE(INT(INDEX(기본자료!$G$2:$G$301,$AB2)/10000),INT(MOD(INDEX(기본자료!$G$2:$G$301,$AB2),10000)/100),MOD(INDEX(기본자료!$G$2:$G$301,$AB2),100)),INDEX(기본자료!$G$2:$G$301,$AB2)&amp;"")))))</f>
        <v/>
      </c>
      <c r="J2" s="10">
        <f>IF($AB2="","",IF(INDEX(기본자료!$H$2:$H$301,$AB2)="","",INDEX(기본자료!$H$2:$H$301,$AB2)))</f>
        <v/>
      </c>
      <c r="K2" s="10">
        <f>IF($AB2="","",IF(INDEX(기본자료!$I$2:$I$301,$AB2)="","",INDEX(기본자료!$I$2:$I$301,$AB2)))</f>
        <v/>
      </c>
      <c r="L2" s="10">
        <f>IF($AB2="","",IF(INDEX(기본자료!$A$2:$A$301,$AB2)="","",INDEX(기본자료!$A$2:$A$301,$AB2)))</f>
        <v/>
      </c>
      <c r="M2" s="15" t="inlineStr">
        <is>
          <t>서울병원</t>
        </is>
      </c>
      <c r="N2" s="10">
        <f>IF($B2="","",IF(AND($U2="파견중",$Q2&lt;&gt;""),$Q2,IF(AND($AD2&lt;&gt;"",LEFT($AD2,1)&lt;&gt;"⚠"),LEFT($AD2,FIND(" ",$AD2)-1),IF($H2="","",IF(RIGHT($H2,2)="병원",$H2,$H2&amp;"병원")))))</f>
        <v/>
      </c>
      <c r="O2" s="10">
        <f>IF($B2="","",IF(AND($U2="파견중",$Q2&lt;&gt;""),IF($R2&lt;&gt;"",$R2,"파견과 미입력"),IF(AND($AD2&lt;&gt;"",LEFT($AD2,1)&lt;&gt;"⚠"),MID($AD2,FIND(" ",$AD2)+1,60),IF($F2="","",IF($F2="인턴","수련교육부(인턴)",$F2)))))</f>
        <v/>
      </c>
      <c r="P2" s="10">
        <f>IF($B2="","",IF($AK2&lt;&gt;"",IF(AND(TODAY()&gt;=INDEX(파견수련계획!$AB$4:$AB$83,$AK2),OR(NOT(ISNUMBER(INDEX(파견수련계획!$AC$4:$AC$83,$AK2))),TODAY()&lt;=INDEX(파견수련계획!$AC$4:$AC$83,$AK2))),"다기관",IF($AF2="","",INDEX(파견수련계획!$T$4:$T$83,$AF2))),IF($AF2="","",INDEX(파견수련계획!$T$4:$T$83,$AF2))))</f>
        <v/>
      </c>
      <c r="Q2" s="10">
        <f>IF($AF2="","",INDEX(파견수련계획!$S$4:$S$83,$AF2))</f>
        <v/>
      </c>
      <c r="R2" s="10">
        <f>IF($AF2="","",INDEX(파견수련계획!$U$4:$U$83,$AF2))</f>
        <v/>
      </c>
      <c r="S2" s="11">
        <f>IF($AF2="","",IF(INDEX(파견수련계획!$H$4:$H$83,$AF2)="","",INDEX(파견수련계획!$H$4:$H$83,$AF2)))</f>
        <v/>
      </c>
      <c r="T2" s="11">
        <f>IF($AF2="","",IF(INDEX(파견수련계획!$I$4:$I$83,$AF2)="","",INDEX(파견수련계획!$I$4:$I$83,$AF2)))</f>
        <v/>
      </c>
      <c r="U2" s="10">
        <f>IF($AF2="","",INDEX(파견수련계획!$X$4:$X$83,$AF2))</f>
        <v/>
      </c>
      <c r="V2" s="17">
        <f>IF($AF2="","",INDEX(파견수련계획!$V$4:$V$83,$AF2))</f>
        <v/>
      </c>
      <c r="W2" s="17">
        <f>IF(AND($U2="파견중",$T2&lt;&gt;""),$T2-TODAY(),"")</f>
        <v/>
      </c>
      <c r="X2" s="17">
        <f>IF(OR($B2="",TRIM($J2&amp;"")=""),"",SUMPRODUCT((파견수련계획!$Q$4:$Q$83=TRIM($J2&amp;""))*파견수련계획!$W$4:$W$83))</f>
        <v/>
      </c>
      <c r="Y2" s="10">
        <f>IF($B2="","",IF($AG2="","",IF(IF(TRIM($J2&amp;"")="",0,SUMPRODUCT((파견수련계획!$Q$4:$Q$83=TRIM($J2&amp;""))*파견수련계획!$AD$4:$AD$83))&gt;0,$AE2,IF(N($X2)&lt;=0,$AG2,IF($AH2+$AI2=DAY(EOMONTH(요약!$B$3,0)),IF(AND($AH2&gt;=요약!$E$3,$AI2&lt;요약!$E$3),"서울병원",IF(AND($AI2&gt;=요약!$E$3,$AH2&lt;요약!$E$3),"구리병원","⚠15일 판정불가(서울 "&amp;$AH2&amp;"일/구리 "&amp;$AI2&amp;"일)")),IF($AJ2="",$AE2,IF(INDEX(파견수련계획!$T$4:$T$83,$AJ2)="통합수련",INDEX(파견수련계획!$S$4:$S$83,$AJ2),$AE2)))))))</f>
        <v/>
      </c>
      <c r="Z2" s="19">
        <f>IF($B2="","",IF($AB2="","기본자료에 없는 사번",IF(COUNTIF($B$2:$B$61,$B2)&gt;1,"중복 사번",IF($AE2="","소속(입사장소) 입력",IF(IF(TRIM($J2&amp;"")="",0,SUMPRODUCT((파견수련계획!$Q$4:$Q$83=TRIM($J2&amp;""))*(파견수련계획!$AA$4:$AA$83&lt;&gt;"")))&gt;0,"파견수련계획 입력오류 확인",IF(LEFT($Y2,1)="⚠","서울·구리 15일 판정 불가(양쪽 모두 이상/미만)",IF(IF($AC2="",0,N(INDEX(인턴근무계획!$T$3:$T$62,$AC2)))&gt;0,"인턴계획 입력오류 확인",IF(AND($AC2&lt;&gt;"",$U2&lt;&gt;"파견중",$N2&lt;&gt;$AE2),"인턴 타지역 근무: 파견 여부 확인","정상"))))))))</f>
        <v/>
      </c>
      <c r="AA2" s="5" t="inlineStr">
        <is>
          <t>예시 데이터</t>
        </is>
      </c>
      <c r="AB2" s="10">
        <f>IF($B2="","",IFERROR(MATCH($B2,기본자료!$B$2:$B$301,0),IFERROR(MATCH($B2&amp;"",기본자료!$B$2:$B$301,0),IFERROR(MATCH(VALUE($B2),기본자료!$B$2:$B$301,0),""))))</f>
        <v/>
      </c>
      <c r="AC2" s="10">
        <f>IF($B2="","",IFERROR(MATCH($B2,인턴근무계획!$D$3:$D$62,0),IFERROR(MATCH($B2&amp;"",인턴근무계획!$D$3:$D$62,0),IFERROR(MATCH(VALUE($B2),인턴근무계획!$D$3:$D$62,0),""))))</f>
        <v/>
      </c>
      <c r="AD2" s="10">
        <f>IF(OR($AC2="",인턴현황!$G$3=""),"",INDEX(인턴근무계획!$M$3:$R$62,$AC2,인턴현황!$G$3)&amp;"")</f>
        <v/>
      </c>
      <c r="AE2" s="10">
        <f>IF($B2="","",IF($M2&lt;&gt;"",$M2,IF($AF2&lt;&gt;"",IF(LEFT(INDEX(파견수련계획!$R$4:$R$83,$AF2),1)&lt;&gt;"⚠",INDEX(파견수련계획!$R$4:$R$83,$AF2),IF($H2="","",IF(RIGHT($H2,2)="병원",$H2,$H2&amp;"병원"))),IF($H2="","",IF(RIGHT($H2,2)="병원",$H2,$H2&amp;"병원")))))</f>
        <v/>
      </c>
      <c r="AF2" s="10">
        <f>IF(OR($B2="",TRIM($J2&amp;"")=""),"",IFERROR(MATCH(TRIM($J2&amp;"")&amp;"|파견중",파견수련계획!$Y$4:$Y$83,0),IFERROR(MATCH(TRIM($J2&amp;"")&amp;"|파견예정",파견수련계획!$Y$4:$Y$83,0),IFERROR(MATCH(TRIM($J2&amp;"")&amp;"|파견종료",파견수련계획!$Y$4:$Y$83,0),""))))</f>
        <v/>
      </c>
      <c r="AG2" s="10">
        <f>IF($B2="","",IF(AND(IF(OR($AC2="",인턴현황!$K$2=""),"",INDEX(인턴근무계획!$M$3:$R$62,$AC2,인턴현황!$K$2)&amp;"")&lt;&gt;"",LEFT(IF(OR($AC2="",인턴현황!$K$2=""),"",INDEX(인턴근무계획!$M$3:$R$62,$AC2,인턴현황!$K$2)&amp;""),1)&lt;&gt;"⚠"),LEFT(IF(OR($AC2="",인턴현황!$K$2=""),"",INDEX(인턴근무계획!$M$3:$R$62,$AC2,인턴현황!$K$2)&amp;""),FIND(" ",IF(OR($AC2="",인턴현황!$K$2=""),"",INDEX(인턴근무계획!$M$3:$R$62,$AC2,인턴현황!$K$2)&amp;""))-1),$AE2))</f>
        <v/>
      </c>
      <c r="AH2" s="17">
        <f>IF($B2="","",IF(TRIM($J2&amp;"")="",0,SUMPRODUCT((파견수련계획!$Q$4:$Q$83=TRIM($J2&amp;""))*(파견수련계획!$S$4:$S$83="서울병원")*파견수련계획!$W$4:$W$83))+IF($AG2="서울병원",MAX(0,DAY(EOMONTH(요약!$B$3,0))-N($X2)),0))</f>
        <v/>
      </c>
      <c r="AI2" s="17">
        <f>IF($B2="","",IF(TRIM($J2&amp;"")="",0,SUMPRODUCT((파견수련계획!$Q$4:$Q$83=TRIM($J2&amp;""))*(파견수련계획!$S$4:$S$83="구리병원")*파견수련계획!$W$4:$W$83))+IF($AG2="구리병원",MAX(0,DAY(EOMONTH(요약!$B$3,0))-N($X2)),0))</f>
        <v/>
      </c>
      <c r="AJ2" s="10">
        <f>IF(OR($B2="",TRIM($J2&amp;"")=""),"",IFERROR(MATCH(TRIM($J2&amp;"")&amp;"|월",파견수련계획!$Z$4:$Z$83,0),""))</f>
        <v/>
      </c>
      <c r="AK2" s="10">
        <f>IF(OR($B2="",TRIM($J2&amp;"")=""),"",IFERROR(MATCH(TRIM($J2&amp;"")&amp;"|다기관",파견수련계획!$AE$4:$AE$83,0),""))</f>
        <v/>
      </c>
      <c r="AL2" s="10">
        <f>IF($AK2="","","다기관 "&amp;TEXT(INDEX(파견수련계획!$AB$4:$AB$83,$AK2),"yyyy-mm-dd")&amp;"~"&amp;IF(ISNUMBER(INDEX(파견수련계획!$AC$4:$AC$83,$AK2)),TEXT(INDEX(파견수련계획!$AC$4:$AC$83,$AK2),"yyyy-mm-dd"),""))</f>
        <v/>
      </c>
    </row>
    <row r="3">
      <c r="A3" s="10">
        <f>IF(B3="","",ROW()-1)</f>
        <v/>
      </c>
      <c r="B3" s="18" t="inlineStr">
        <is>
          <t>2261213</t>
        </is>
      </c>
      <c r="C3" s="10">
        <f>IF($AB3="","",IF(INDEX(기본자료!$C$2:$C$301,$AB3)="","",INDEX(기본자료!$C$2:$C$301,$AB3)))</f>
        <v/>
      </c>
      <c r="D3" s="10">
        <f>IF($AB3="","",IF(INDEX(기본자료!$J$2:$J$301,$AB3)="","",INDEX(기본자료!$J$2:$J$301,$AB3)))</f>
        <v/>
      </c>
      <c r="E3" s="11">
        <f>IF($AB3="","",IF(INDEX(기본자료!$K$2:$K$301,$AB3)="","",IF(NOT(ISNUMBER(INDEX(기본자료!$K$2:$K$301,$AB3))),INDEX(기본자료!$K$2:$K$301,$AB3),IF(INDEX(기본자료!$K$2:$K$301,$AB3)&lt;1000000,INDEX(기본자료!$K$2:$K$301,$AB3),IF(AND(INDEX(기본자료!$K$2:$K$301,$AB3)&gt;=10000101,INT(MOD(INDEX(기본자료!$K$2:$K$301,$AB3),10000)/100)&gt;=1,INT(MOD(INDEX(기본자료!$K$2:$K$301,$AB3),10000)/100)&lt;=12,MOD(INDEX(기본자료!$K$2:$K$301,$AB3),100)&gt;=1,MOD(INDEX(기본자료!$K$2:$K$301,$AB3),100)&lt;=31),DATE(INT(INDEX(기본자료!$K$2:$K$301,$AB3)/10000),INT(MOD(INDEX(기본자료!$K$2:$K$301,$AB3),10000)/100),MOD(INDEX(기본자료!$K$2:$K$301,$AB3),100)),INDEX(기본자료!$K$2:$K$301,$AB3)&amp;"")))))</f>
        <v/>
      </c>
      <c r="F3" s="10">
        <f>IF($AB3="","",IF(INDEX(기본자료!$D$2:$D$301,$AB3)="","",INDEX(기본자료!$D$2:$D$301,$AB3)))</f>
        <v/>
      </c>
      <c r="G3" s="10">
        <f>IF($AB3="","",IF(INDEX(기본자료!$E$2:$E$301,$AB3)="","",INDEX(기본자료!$E$2:$E$301,$AB3)))</f>
        <v/>
      </c>
      <c r="H3" s="10">
        <f>IF($AB3="","",IF(INDEX(기본자료!$F$2:$F$301,$AB3)="","",INDEX(기본자료!$F$2:$F$301,$AB3)))</f>
        <v/>
      </c>
      <c r="I3" s="11">
        <f>IF($AB3="","",IF(INDEX(기본자료!$G$2:$G$301,$AB3)="","",IF(NOT(ISNUMBER(INDEX(기본자료!$G$2:$G$301,$AB3))),INDEX(기본자료!$G$2:$G$301,$AB3),IF(INDEX(기본자료!$G$2:$G$301,$AB3)&lt;1000000,INDEX(기본자료!$G$2:$G$301,$AB3),IF(AND(INDEX(기본자료!$G$2:$G$301,$AB3)&gt;=10000101,INT(MOD(INDEX(기본자료!$G$2:$G$301,$AB3),10000)/100)&gt;=1,INT(MOD(INDEX(기본자료!$G$2:$G$301,$AB3),10000)/100)&lt;=12,MOD(INDEX(기본자료!$G$2:$G$301,$AB3),100)&gt;=1,MOD(INDEX(기본자료!$G$2:$G$301,$AB3),100)&lt;=31),DATE(INT(INDEX(기본자료!$G$2:$G$301,$AB3)/10000),INT(MOD(INDEX(기본자료!$G$2:$G$301,$AB3),10000)/100),MOD(INDEX(기본자료!$G$2:$G$301,$AB3),100)),INDEX(기본자료!$G$2:$G$301,$AB3)&amp;"")))))</f>
        <v/>
      </c>
      <c r="J3" s="10">
        <f>IF($AB3="","",IF(INDEX(기본자료!$H$2:$H$301,$AB3)="","",INDEX(기본자료!$H$2:$H$301,$AB3)))</f>
        <v/>
      </c>
      <c r="K3" s="10">
        <f>IF($AB3="","",IF(INDEX(기본자료!$I$2:$I$301,$AB3)="","",INDEX(기본자료!$I$2:$I$301,$AB3)))</f>
        <v/>
      </c>
      <c r="L3" s="10">
        <f>IF($AB3="","",IF(INDEX(기본자료!$A$2:$A$301,$AB3)="","",INDEX(기본자료!$A$2:$A$301,$AB3)))</f>
        <v/>
      </c>
      <c r="M3" s="15" t="inlineStr">
        <is>
          <t>서울병원</t>
        </is>
      </c>
      <c r="N3" s="10">
        <f>IF($B3="","",IF(AND($U3="파견중",$Q3&lt;&gt;""),$Q3,IF(AND($AD3&lt;&gt;"",LEFT($AD3,1)&lt;&gt;"⚠"),LEFT($AD3,FIND(" ",$AD3)-1),IF($H3="","",IF(RIGHT($H3,2)="병원",$H3,$H3&amp;"병원")))))</f>
        <v/>
      </c>
      <c r="O3" s="10">
        <f>IF($B3="","",IF(AND($U3="파견중",$Q3&lt;&gt;""),IF($R3&lt;&gt;"",$R3,"파견과 미입력"),IF(AND($AD3&lt;&gt;"",LEFT($AD3,1)&lt;&gt;"⚠"),MID($AD3,FIND(" ",$AD3)+1,60),IF($F3="","",IF($F3="인턴","수련교육부(인턴)",$F3)))))</f>
        <v/>
      </c>
      <c r="P3" s="10">
        <f>IF($B3="","",IF($AK3&lt;&gt;"",IF(AND(TODAY()&gt;=INDEX(파견수련계획!$AB$4:$AB$83,$AK3),OR(NOT(ISNUMBER(INDEX(파견수련계획!$AC$4:$AC$83,$AK3))),TODAY()&lt;=INDEX(파견수련계획!$AC$4:$AC$83,$AK3))),"다기관",IF($AF3="","",INDEX(파견수련계획!$T$4:$T$83,$AF3))),IF($AF3="","",INDEX(파견수련계획!$T$4:$T$83,$AF3))))</f>
        <v/>
      </c>
      <c r="Q3" s="10">
        <f>IF($AF3="","",INDEX(파견수련계획!$S$4:$S$83,$AF3))</f>
        <v/>
      </c>
      <c r="R3" s="10">
        <f>IF($AF3="","",INDEX(파견수련계획!$U$4:$U$83,$AF3))</f>
        <v/>
      </c>
      <c r="S3" s="11">
        <f>IF($AF3="","",IF(INDEX(파견수련계획!$H$4:$H$83,$AF3)="","",INDEX(파견수련계획!$H$4:$H$83,$AF3)))</f>
        <v/>
      </c>
      <c r="T3" s="11">
        <f>IF($AF3="","",IF(INDEX(파견수련계획!$I$4:$I$83,$AF3)="","",INDEX(파견수련계획!$I$4:$I$83,$AF3)))</f>
        <v/>
      </c>
      <c r="U3" s="10">
        <f>IF($AF3="","",INDEX(파견수련계획!$X$4:$X$83,$AF3))</f>
        <v/>
      </c>
      <c r="V3" s="17">
        <f>IF($AF3="","",INDEX(파견수련계획!$V$4:$V$83,$AF3))</f>
        <v/>
      </c>
      <c r="W3" s="17">
        <f>IF(AND($U3="파견중",$T3&lt;&gt;""),$T3-TODAY(),"")</f>
        <v/>
      </c>
      <c r="X3" s="17">
        <f>IF(OR($B3="",TRIM($J3&amp;"")=""),"",SUMPRODUCT((파견수련계획!$Q$4:$Q$83=TRIM($J3&amp;""))*파견수련계획!$W$4:$W$83))</f>
        <v/>
      </c>
      <c r="Y3" s="10">
        <f>IF($B3="","",IF($AG3="","",IF(IF(TRIM($J3&amp;"")="",0,SUMPRODUCT((파견수련계획!$Q$4:$Q$83=TRIM($J3&amp;""))*파견수련계획!$AD$4:$AD$83))&gt;0,$AE3,IF(N($X3)&lt;=0,$AG3,IF($AH3+$AI3=DAY(EOMONTH(요약!$B$3,0)),IF(AND($AH3&gt;=요약!$E$3,$AI3&lt;요약!$E$3),"서울병원",IF(AND($AI3&gt;=요약!$E$3,$AH3&lt;요약!$E$3),"구리병원","⚠15일 판정불가(서울 "&amp;$AH3&amp;"일/구리 "&amp;$AI3&amp;"일)")),IF($AJ3="",$AE3,IF(INDEX(파견수련계획!$T$4:$T$83,$AJ3)="통합수련",INDEX(파견수련계획!$S$4:$S$83,$AJ3),$AE3)))))))</f>
        <v/>
      </c>
      <c r="Z3" s="19">
        <f>IF($B3="","",IF($AB3="","기본자료에 없는 사번",IF(COUNTIF($B$2:$B$61,$B3)&gt;1,"중복 사번",IF($AE3="","소속(입사장소) 입력",IF(IF(TRIM($J3&amp;"")="",0,SUMPRODUCT((파견수련계획!$Q$4:$Q$83=TRIM($J3&amp;""))*(파견수련계획!$AA$4:$AA$83&lt;&gt;"")))&gt;0,"파견수련계획 입력오류 확인",IF(LEFT($Y3,1)="⚠","서울·구리 15일 판정 불가(양쪽 모두 이상/미만)",IF(IF($AC3="",0,N(INDEX(인턴근무계획!$T$3:$T$62,$AC3)))&gt;0,"인턴계획 입력오류 확인",IF(AND($AC3&lt;&gt;"",$U3&lt;&gt;"파견중",$N3&lt;&gt;$AE3),"인턴 타지역 근무: 파견 여부 확인","정상"))))))))</f>
        <v/>
      </c>
      <c r="AA3" s="5" t="inlineStr">
        <is>
          <t>예시 데이터</t>
        </is>
      </c>
      <c r="AB3" s="10">
        <f>IF($B3="","",IFERROR(MATCH($B3,기본자료!$B$2:$B$301,0),IFERROR(MATCH($B3&amp;"",기본자료!$B$2:$B$301,0),IFERROR(MATCH(VALUE($B3),기본자료!$B$2:$B$301,0),""))))</f>
        <v/>
      </c>
      <c r="AC3" s="10">
        <f>IF($B3="","",IFERROR(MATCH($B3,인턴근무계획!$D$3:$D$62,0),IFERROR(MATCH($B3&amp;"",인턴근무계획!$D$3:$D$62,0),IFERROR(MATCH(VALUE($B3),인턴근무계획!$D$3:$D$62,0),""))))</f>
        <v/>
      </c>
      <c r="AD3" s="10">
        <f>IF(OR($AC3="",인턴현황!$G$3=""),"",INDEX(인턴근무계획!$M$3:$R$62,$AC3,인턴현황!$G$3)&amp;"")</f>
        <v/>
      </c>
      <c r="AE3" s="10">
        <f>IF($B3="","",IF($M3&lt;&gt;"",$M3,IF($AF3&lt;&gt;"",IF(LEFT(INDEX(파견수련계획!$R$4:$R$83,$AF3),1)&lt;&gt;"⚠",INDEX(파견수련계획!$R$4:$R$83,$AF3),IF($H3="","",IF(RIGHT($H3,2)="병원",$H3,$H3&amp;"병원"))),IF($H3="","",IF(RIGHT($H3,2)="병원",$H3,$H3&amp;"병원")))))</f>
        <v/>
      </c>
      <c r="AF3" s="10">
        <f>IF(OR($B3="",TRIM($J3&amp;"")=""),"",IFERROR(MATCH(TRIM($J3&amp;"")&amp;"|파견중",파견수련계획!$Y$4:$Y$83,0),IFERROR(MATCH(TRIM($J3&amp;"")&amp;"|파견예정",파견수련계획!$Y$4:$Y$83,0),IFERROR(MATCH(TRIM($J3&amp;"")&amp;"|파견종료",파견수련계획!$Y$4:$Y$83,0),""))))</f>
        <v/>
      </c>
      <c r="AG3" s="10">
        <f>IF($B3="","",IF(AND(IF(OR($AC3="",인턴현황!$K$2=""),"",INDEX(인턴근무계획!$M$3:$R$62,$AC3,인턴현황!$K$2)&amp;"")&lt;&gt;"",LEFT(IF(OR($AC3="",인턴현황!$K$2=""),"",INDEX(인턴근무계획!$M$3:$R$62,$AC3,인턴현황!$K$2)&amp;""),1)&lt;&gt;"⚠"),LEFT(IF(OR($AC3="",인턴현황!$K$2=""),"",INDEX(인턴근무계획!$M$3:$R$62,$AC3,인턴현황!$K$2)&amp;""),FIND(" ",IF(OR($AC3="",인턴현황!$K$2=""),"",INDEX(인턴근무계획!$M$3:$R$62,$AC3,인턴현황!$K$2)&amp;""))-1),$AE3))</f>
        <v/>
      </c>
      <c r="AH3" s="17">
        <f>IF($B3="","",IF(TRIM($J3&amp;"")="",0,SUMPRODUCT((파견수련계획!$Q$4:$Q$83=TRIM($J3&amp;""))*(파견수련계획!$S$4:$S$83="서울병원")*파견수련계획!$W$4:$W$83))+IF($AG3="서울병원",MAX(0,DAY(EOMONTH(요약!$B$3,0))-N($X3)),0))</f>
        <v/>
      </c>
      <c r="AI3" s="17">
        <f>IF($B3="","",IF(TRIM($J3&amp;"")="",0,SUMPRODUCT((파견수련계획!$Q$4:$Q$83=TRIM($J3&amp;""))*(파견수련계획!$S$4:$S$83="구리병원")*파견수련계획!$W$4:$W$83))+IF($AG3="구리병원",MAX(0,DAY(EOMONTH(요약!$B$3,0))-N($X3)),0))</f>
        <v/>
      </c>
      <c r="AJ3" s="10">
        <f>IF(OR($B3="",TRIM($J3&amp;"")=""),"",IFERROR(MATCH(TRIM($J3&amp;"")&amp;"|월",파견수련계획!$Z$4:$Z$83,0),""))</f>
        <v/>
      </c>
      <c r="AK3" s="10">
        <f>IF(OR($B3="",TRIM($J3&amp;"")=""),"",IFERROR(MATCH(TRIM($J3&amp;"")&amp;"|다기관",파견수련계획!$AE$4:$AE$83,0),""))</f>
        <v/>
      </c>
      <c r="AL3" s="10">
        <f>IF($AK3="","","다기관 "&amp;TEXT(INDEX(파견수련계획!$AB$4:$AB$83,$AK3),"yyyy-mm-dd")&amp;"~"&amp;IF(ISNUMBER(INDEX(파견수련계획!$AC$4:$AC$83,$AK3)),TEXT(INDEX(파견수련계획!$AC$4:$AC$83,$AK3),"yyyy-mm-dd"),""))</f>
        <v/>
      </c>
    </row>
    <row r="4">
      <c r="A4" s="10">
        <f>IF(B4="","",ROW()-1)</f>
        <v/>
      </c>
      <c r="B4" s="18" t="inlineStr">
        <is>
          <t>2261214</t>
        </is>
      </c>
      <c r="C4" s="10">
        <f>IF($AB4="","",IF(INDEX(기본자료!$C$2:$C$301,$AB4)="","",INDEX(기본자료!$C$2:$C$301,$AB4)))</f>
        <v/>
      </c>
      <c r="D4" s="10">
        <f>IF($AB4="","",IF(INDEX(기본자료!$J$2:$J$301,$AB4)="","",INDEX(기본자료!$J$2:$J$301,$AB4)))</f>
        <v/>
      </c>
      <c r="E4" s="11">
        <f>IF($AB4="","",IF(INDEX(기본자료!$K$2:$K$301,$AB4)="","",IF(NOT(ISNUMBER(INDEX(기본자료!$K$2:$K$301,$AB4))),INDEX(기본자료!$K$2:$K$301,$AB4),IF(INDEX(기본자료!$K$2:$K$301,$AB4)&lt;1000000,INDEX(기본자료!$K$2:$K$301,$AB4),IF(AND(INDEX(기본자료!$K$2:$K$301,$AB4)&gt;=10000101,INT(MOD(INDEX(기본자료!$K$2:$K$301,$AB4),10000)/100)&gt;=1,INT(MOD(INDEX(기본자료!$K$2:$K$301,$AB4),10000)/100)&lt;=12,MOD(INDEX(기본자료!$K$2:$K$301,$AB4),100)&gt;=1,MOD(INDEX(기본자료!$K$2:$K$301,$AB4),100)&lt;=31),DATE(INT(INDEX(기본자료!$K$2:$K$301,$AB4)/10000),INT(MOD(INDEX(기본자료!$K$2:$K$301,$AB4),10000)/100),MOD(INDEX(기본자료!$K$2:$K$301,$AB4),100)),INDEX(기본자료!$K$2:$K$301,$AB4)&amp;"")))))</f>
        <v/>
      </c>
      <c r="F4" s="10">
        <f>IF($AB4="","",IF(INDEX(기본자료!$D$2:$D$301,$AB4)="","",INDEX(기본자료!$D$2:$D$301,$AB4)))</f>
        <v/>
      </c>
      <c r="G4" s="10">
        <f>IF($AB4="","",IF(INDEX(기본자료!$E$2:$E$301,$AB4)="","",INDEX(기본자료!$E$2:$E$301,$AB4)))</f>
        <v/>
      </c>
      <c r="H4" s="10">
        <f>IF($AB4="","",IF(INDEX(기본자료!$F$2:$F$301,$AB4)="","",INDEX(기본자료!$F$2:$F$301,$AB4)))</f>
        <v/>
      </c>
      <c r="I4" s="11">
        <f>IF($AB4="","",IF(INDEX(기본자료!$G$2:$G$301,$AB4)="","",IF(NOT(ISNUMBER(INDEX(기본자료!$G$2:$G$301,$AB4))),INDEX(기본자료!$G$2:$G$301,$AB4),IF(INDEX(기본자료!$G$2:$G$301,$AB4)&lt;1000000,INDEX(기본자료!$G$2:$G$301,$AB4),IF(AND(INDEX(기본자료!$G$2:$G$301,$AB4)&gt;=10000101,INT(MOD(INDEX(기본자료!$G$2:$G$301,$AB4),10000)/100)&gt;=1,INT(MOD(INDEX(기본자료!$G$2:$G$301,$AB4),10000)/100)&lt;=12,MOD(INDEX(기본자료!$G$2:$G$301,$AB4),100)&gt;=1,MOD(INDEX(기본자료!$G$2:$G$301,$AB4),100)&lt;=31),DATE(INT(INDEX(기본자료!$G$2:$G$301,$AB4)/10000),INT(MOD(INDEX(기본자료!$G$2:$G$301,$AB4),10000)/100),MOD(INDEX(기본자료!$G$2:$G$301,$AB4),100)),INDEX(기본자료!$G$2:$G$301,$AB4)&amp;"")))))</f>
        <v/>
      </c>
      <c r="J4" s="10">
        <f>IF($AB4="","",IF(INDEX(기본자료!$H$2:$H$301,$AB4)="","",INDEX(기본자료!$H$2:$H$301,$AB4)))</f>
        <v/>
      </c>
      <c r="K4" s="10">
        <f>IF($AB4="","",IF(INDEX(기본자료!$I$2:$I$301,$AB4)="","",INDEX(기본자료!$I$2:$I$301,$AB4)))</f>
        <v/>
      </c>
      <c r="L4" s="10">
        <f>IF($AB4="","",IF(INDEX(기본자료!$A$2:$A$301,$AB4)="","",INDEX(기본자료!$A$2:$A$301,$AB4)))</f>
        <v/>
      </c>
      <c r="M4" s="15" t="inlineStr">
        <is>
          <t>서울병원</t>
        </is>
      </c>
      <c r="N4" s="10">
        <f>IF($B4="","",IF(AND($U4="파견중",$Q4&lt;&gt;""),$Q4,IF(AND($AD4&lt;&gt;"",LEFT($AD4,1)&lt;&gt;"⚠"),LEFT($AD4,FIND(" ",$AD4)-1),IF($H4="","",IF(RIGHT($H4,2)="병원",$H4,$H4&amp;"병원")))))</f>
        <v/>
      </c>
      <c r="O4" s="10">
        <f>IF($B4="","",IF(AND($U4="파견중",$Q4&lt;&gt;""),IF($R4&lt;&gt;"",$R4,"파견과 미입력"),IF(AND($AD4&lt;&gt;"",LEFT($AD4,1)&lt;&gt;"⚠"),MID($AD4,FIND(" ",$AD4)+1,60),IF($F4="","",IF($F4="인턴","수련교육부(인턴)",$F4)))))</f>
        <v/>
      </c>
      <c r="P4" s="10">
        <f>IF($B4="","",IF($AK4&lt;&gt;"",IF(AND(TODAY()&gt;=INDEX(파견수련계획!$AB$4:$AB$83,$AK4),OR(NOT(ISNUMBER(INDEX(파견수련계획!$AC$4:$AC$83,$AK4))),TODAY()&lt;=INDEX(파견수련계획!$AC$4:$AC$83,$AK4))),"다기관",IF($AF4="","",INDEX(파견수련계획!$T$4:$T$83,$AF4))),IF($AF4="","",INDEX(파견수련계획!$T$4:$T$83,$AF4))))</f>
        <v/>
      </c>
      <c r="Q4" s="10">
        <f>IF($AF4="","",INDEX(파견수련계획!$S$4:$S$83,$AF4))</f>
        <v/>
      </c>
      <c r="R4" s="10">
        <f>IF($AF4="","",INDEX(파견수련계획!$U$4:$U$83,$AF4))</f>
        <v/>
      </c>
      <c r="S4" s="11">
        <f>IF($AF4="","",IF(INDEX(파견수련계획!$H$4:$H$83,$AF4)="","",INDEX(파견수련계획!$H$4:$H$83,$AF4)))</f>
        <v/>
      </c>
      <c r="T4" s="11">
        <f>IF($AF4="","",IF(INDEX(파견수련계획!$I$4:$I$83,$AF4)="","",INDEX(파견수련계획!$I$4:$I$83,$AF4)))</f>
        <v/>
      </c>
      <c r="U4" s="10">
        <f>IF($AF4="","",INDEX(파견수련계획!$X$4:$X$83,$AF4))</f>
        <v/>
      </c>
      <c r="V4" s="17">
        <f>IF($AF4="","",INDEX(파견수련계획!$V$4:$V$83,$AF4))</f>
        <v/>
      </c>
      <c r="W4" s="17">
        <f>IF(AND($U4="파견중",$T4&lt;&gt;""),$T4-TODAY(),"")</f>
        <v/>
      </c>
      <c r="X4" s="17">
        <f>IF(OR($B4="",TRIM($J4&amp;"")=""),"",SUMPRODUCT((파견수련계획!$Q$4:$Q$83=TRIM($J4&amp;""))*파견수련계획!$W$4:$W$83))</f>
        <v/>
      </c>
      <c r="Y4" s="10">
        <f>IF($B4="","",IF($AG4="","",IF(IF(TRIM($J4&amp;"")="",0,SUMPRODUCT((파견수련계획!$Q$4:$Q$83=TRIM($J4&amp;""))*파견수련계획!$AD$4:$AD$83))&gt;0,$AE4,IF(N($X4)&lt;=0,$AG4,IF($AH4+$AI4=DAY(EOMONTH(요약!$B$3,0)),IF(AND($AH4&gt;=요약!$E$3,$AI4&lt;요약!$E$3),"서울병원",IF(AND($AI4&gt;=요약!$E$3,$AH4&lt;요약!$E$3),"구리병원","⚠15일 판정불가(서울 "&amp;$AH4&amp;"일/구리 "&amp;$AI4&amp;"일)")),IF($AJ4="",$AE4,IF(INDEX(파견수련계획!$T$4:$T$83,$AJ4)="통합수련",INDEX(파견수련계획!$S$4:$S$83,$AJ4),$AE4)))))))</f>
        <v/>
      </c>
      <c r="Z4" s="19">
        <f>IF($B4="","",IF($AB4="","기본자료에 없는 사번",IF(COUNTIF($B$2:$B$61,$B4)&gt;1,"중복 사번",IF($AE4="","소속(입사장소) 입력",IF(IF(TRIM($J4&amp;"")="",0,SUMPRODUCT((파견수련계획!$Q$4:$Q$83=TRIM($J4&amp;""))*(파견수련계획!$AA$4:$AA$83&lt;&gt;"")))&gt;0,"파견수련계획 입력오류 확인",IF(LEFT($Y4,1)="⚠","서울·구리 15일 판정 불가(양쪽 모두 이상/미만)",IF(IF($AC4="",0,N(INDEX(인턴근무계획!$T$3:$T$62,$AC4)))&gt;0,"인턴계획 입력오류 확인",IF(AND($AC4&lt;&gt;"",$U4&lt;&gt;"파견중",$N4&lt;&gt;$AE4),"인턴 타지역 근무: 파견 여부 확인","정상"))))))))</f>
        <v/>
      </c>
      <c r="AA4" s="5" t="inlineStr">
        <is>
          <t>예시 데이터</t>
        </is>
      </c>
      <c r="AB4" s="10">
        <f>IF($B4="","",IFERROR(MATCH($B4,기본자료!$B$2:$B$301,0),IFERROR(MATCH($B4&amp;"",기본자료!$B$2:$B$301,0),IFERROR(MATCH(VALUE($B4),기본자료!$B$2:$B$301,0),""))))</f>
        <v/>
      </c>
      <c r="AC4" s="10">
        <f>IF($B4="","",IFERROR(MATCH($B4,인턴근무계획!$D$3:$D$62,0),IFERROR(MATCH($B4&amp;"",인턴근무계획!$D$3:$D$62,0),IFERROR(MATCH(VALUE($B4),인턴근무계획!$D$3:$D$62,0),""))))</f>
        <v/>
      </c>
      <c r="AD4" s="10">
        <f>IF(OR($AC4="",인턴현황!$G$3=""),"",INDEX(인턴근무계획!$M$3:$R$62,$AC4,인턴현황!$G$3)&amp;"")</f>
        <v/>
      </c>
      <c r="AE4" s="10">
        <f>IF($B4="","",IF($M4&lt;&gt;"",$M4,IF($AF4&lt;&gt;"",IF(LEFT(INDEX(파견수련계획!$R$4:$R$83,$AF4),1)&lt;&gt;"⚠",INDEX(파견수련계획!$R$4:$R$83,$AF4),IF($H4="","",IF(RIGHT($H4,2)="병원",$H4,$H4&amp;"병원"))),IF($H4="","",IF(RIGHT($H4,2)="병원",$H4,$H4&amp;"병원")))))</f>
        <v/>
      </c>
      <c r="AF4" s="10">
        <f>IF(OR($B4="",TRIM($J4&amp;"")=""),"",IFERROR(MATCH(TRIM($J4&amp;"")&amp;"|파견중",파견수련계획!$Y$4:$Y$83,0),IFERROR(MATCH(TRIM($J4&amp;"")&amp;"|파견예정",파견수련계획!$Y$4:$Y$83,0),IFERROR(MATCH(TRIM($J4&amp;"")&amp;"|파견종료",파견수련계획!$Y$4:$Y$83,0),""))))</f>
        <v/>
      </c>
      <c r="AG4" s="10">
        <f>IF($B4="","",IF(AND(IF(OR($AC4="",인턴현황!$K$2=""),"",INDEX(인턴근무계획!$M$3:$R$62,$AC4,인턴현황!$K$2)&amp;"")&lt;&gt;"",LEFT(IF(OR($AC4="",인턴현황!$K$2=""),"",INDEX(인턴근무계획!$M$3:$R$62,$AC4,인턴현황!$K$2)&amp;""),1)&lt;&gt;"⚠"),LEFT(IF(OR($AC4="",인턴현황!$K$2=""),"",INDEX(인턴근무계획!$M$3:$R$62,$AC4,인턴현황!$K$2)&amp;""),FIND(" ",IF(OR($AC4="",인턴현황!$K$2=""),"",INDEX(인턴근무계획!$M$3:$R$62,$AC4,인턴현황!$K$2)&amp;""))-1),$AE4))</f>
        <v/>
      </c>
      <c r="AH4" s="17">
        <f>IF($B4="","",IF(TRIM($J4&amp;"")="",0,SUMPRODUCT((파견수련계획!$Q$4:$Q$83=TRIM($J4&amp;""))*(파견수련계획!$S$4:$S$83="서울병원")*파견수련계획!$W$4:$W$83))+IF($AG4="서울병원",MAX(0,DAY(EOMONTH(요약!$B$3,0))-N($X4)),0))</f>
        <v/>
      </c>
      <c r="AI4" s="17">
        <f>IF($B4="","",IF(TRIM($J4&amp;"")="",0,SUMPRODUCT((파견수련계획!$Q$4:$Q$83=TRIM($J4&amp;""))*(파견수련계획!$S$4:$S$83="구리병원")*파견수련계획!$W$4:$W$83))+IF($AG4="구리병원",MAX(0,DAY(EOMONTH(요약!$B$3,0))-N($X4)),0))</f>
        <v/>
      </c>
      <c r="AJ4" s="10">
        <f>IF(OR($B4="",TRIM($J4&amp;"")=""),"",IFERROR(MATCH(TRIM($J4&amp;"")&amp;"|월",파견수련계획!$Z$4:$Z$83,0),""))</f>
        <v/>
      </c>
      <c r="AK4" s="10">
        <f>IF(OR($B4="",TRIM($J4&amp;"")=""),"",IFERROR(MATCH(TRIM($J4&amp;"")&amp;"|다기관",파견수련계획!$AE$4:$AE$83,0),""))</f>
        <v/>
      </c>
      <c r="AL4" s="10">
        <f>IF($AK4="","","다기관 "&amp;TEXT(INDEX(파견수련계획!$AB$4:$AB$83,$AK4),"yyyy-mm-dd")&amp;"~"&amp;IF(ISNUMBER(INDEX(파견수련계획!$AC$4:$AC$83,$AK4)),TEXT(INDEX(파견수련계획!$AC$4:$AC$83,$AK4),"yyyy-mm-dd"),""))</f>
        <v/>
      </c>
    </row>
    <row r="5">
      <c r="A5" s="10">
        <f>IF(B5="","",ROW()-1)</f>
        <v/>
      </c>
      <c r="B5" s="18" t="inlineStr">
        <is>
          <t>2261215</t>
        </is>
      </c>
      <c r="C5" s="10">
        <f>IF($AB5="","",IF(INDEX(기본자료!$C$2:$C$301,$AB5)="","",INDEX(기본자료!$C$2:$C$301,$AB5)))</f>
        <v/>
      </c>
      <c r="D5" s="10">
        <f>IF($AB5="","",IF(INDEX(기본자료!$J$2:$J$301,$AB5)="","",INDEX(기본자료!$J$2:$J$301,$AB5)))</f>
        <v/>
      </c>
      <c r="E5" s="11">
        <f>IF($AB5="","",IF(INDEX(기본자료!$K$2:$K$301,$AB5)="","",IF(NOT(ISNUMBER(INDEX(기본자료!$K$2:$K$301,$AB5))),INDEX(기본자료!$K$2:$K$301,$AB5),IF(INDEX(기본자료!$K$2:$K$301,$AB5)&lt;1000000,INDEX(기본자료!$K$2:$K$301,$AB5),IF(AND(INDEX(기본자료!$K$2:$K$301,$AB5)&gt;=10000101,INT(MOD(INDEX(기본자료!$K$2:$K$301,$AB5),10000)/100)&gt;=1,INT(MOD(INDEX(기본자료!$K$2:$K$301,$AB5),10000)/100)&lt;=12,MOD(INDEX(기본자료!$K$2:$K$301,$AB5),100)&gt;=1,MOD(INDEX(기본자료!$K$2:$K$301,$AB5),100)&lt;=31),DATE(INT(INDEX(기본자료!$K$2:$K$301,$AB5)/10000),INT(MOD(INDEX(기본자료!$K$2:$K$301,$AB5),10000)/100),MOD(INDEX(기본자료!$K$2:$K$301,$AB5),100)),INDEX(기본자료!$K$2:$K$301,$AB5)&amp;"")))))</f>
        <v/>
      </c>
      <c r="F5" s="10">
        <f>IF($AB5="","",IF(INDEX(기본자료!$D$2:$D$301,$AB5)="","",INDEX(기본자료!$D$2:$D$301,$AB5)))</f>
        <v/>
      </c>
      <c r="G5" s="10">
        <f>IF($AB5="","",IF(INDEX(기본자료!$E$2:$E$301,$AB5)="","",INDEX(기본자료!$E$2:$E$301,$AB5)))</f>
        <v/>
      </c>
      <c r="H5" s="10">
        <f>IF($AB5="","",IF(INDEX(기본자료!$F$2:$F$301,$AB5)="","",INDEX(기본자료!$F$2:$F$301,$AB5)))</f>
        <v/>
      </c>
      <c r="I5" s="11">
        <f>IF($AB5="","",IF(INDEX(기본자료!$G$2:$G$301,$AB5)="","",IF(NOT(ISNUMBER(INDEX(기본자료!$G$2:$G$301,$AB5))),INDEX(기본자료!$G$2:$G$301,$AB5),IF(INDEX(기본자료!$G$2:$G$301,$AB5)&lt;1000000,INDEX(기본자료!$G$2:$G$301,$AB5),IF(AND(INDEX(기본자료!$G$2:$G$301,$AB5)&gt;=10000101,INT(MOD(INDEX(기본자료!$G$2:$G$301,$AB5),10000)/100)&gt;=1,INT(MOD(INDEX(기본자료!$G$2:$G$301,$AB5),10000)/100)&lt;=12,MOD(INDEX(기본자료!$G$2:$G$301,$AB5),100)&gt;=1,MOD(INDEX(기본자료!$G$2:$G$301,$AB5),100)&lt;=31),DATE(INT(INDEX(기본자료!$G$2:$G$301,$AB5)/10000),INT(MOD(INDEX(기본자료!$G$2:$G$301,$AB5),10000)/100),MOD(INDEX(기본자료!$G$2:$G$301,$AB5),100)),INDEX(기본자료!$G$2:$G$301,$AB5)&amp;"")))))</f>
        <v/>
      </c>
      <c r="J5" s="10">
        <f>IF($AB5="","",IF(INDEX(기본자료!$H$2:$H$301,$AB5)="","",INDEX(기본자료!$H$2:$H$301,$AB5)))</f>
        <v/>
      </c>
      <c r="K5" s="10">
        <f>IF($AB5="","",IF(INDEX(기본자료!$I$2:$I$301,$AB5)="","",INDEX(기본자료!$I$2:$I$301,$AB5)))</f>
        <v/>
      </c>
      <c r="L5" s="10">
        <f>IF($AB5="","",IF(INDEX(기본자료!$A$2:$A$301,$AB5)="","",INDEX(기본자료!$A$2:$A$301,$AB5)))</f>
        <v/>
      </c>
      <c r="M5" s="15" t="inlineStr">
        <is>
          <t>서울병원</t>
        </is>
      </c>
      <c r="N5" s="10">
        <f>IF($B5="","",IF(AND($U5="파견중",$Q5&lt;&gt;""),$Q5,IF(AND($AD5&lt;&gt;"",LEFT($AD5,1)&lt;&gt;"⚠"),LEFT($AD5,FIND(" ",$AD5)-1),IF($H5="","",IF(RIGHT($H5,2)="병원",$H5,$H5&amp;"병원")))))</f>
        <v/>
      </c>
      <c r="O5" s="10">
        <f>IF($B5="","",IF(AND($U5="파견중",$Q5&lt;&gt;""),IF($R5&lt;&gt;"",$R5,"파견과 미입력"),IF(AND($AD5&lt;&gt;"",LEFT($AD5,1)&lt;&gt;"⚠"),MID($AD5,FIND(" ",$AD5)+1,60),IF($F5="","",IF($F5="인턴","수련교육부(인턴)",$F5)))))</f>
        <v/>
      </c>
      <c r="P5" s="10">
        <f>IF($B5="","",IF($AK5&lt;&gt;"",IF(AND(TODAY()&gt;=INDEX(파견수련계획!$AB$4:$AB$83,$AK5),OR(NOT(ISNUMBER(INDEX(파견수련계획!$AC$4:$AC$83,$AK5))),TODAY()&lt;=INDEX(파견수련계획!$AC$4:$AC$83,$AK5))),"다기관",IF($AF5="","",INDEX(파견수련계획!$T$4:$T$83,$AF5))),IF($AF5="","",INDEX(파견수련계획!$T$4:$T$83,$AF5))))</f>
        <v/>
      </c>
      <c r="Q5" s="10">
        <f>IF($AF5="","",INDEX(파견수련계획!$S$4:$S$83,$AF5))</f>
        <v/>
      </c>
      <c r="R5" s="10">
        <f>IF($AF5="","",INDEX(파견수련계획!$U$4:$U$83,$AF5))</f>
        <v/>
      </c>
      <c r="S5" s="11">
        <f>IF($AF5="","",IF(INDEX(파견수련계획!$H$4:$H$83,$AF5)="","",INDEX(파견수련계획!$H$4:$H$83,$AF5)))</f>
        <v/>
      </c>
      <c r="T5" s="11">
        <f>IF($AF5="","",IF(INDEX(파견수련계획!$I$4:$I$83,$AF5)="","",INDEX(파견수련계획!$I$4:$I$83,$AF5)))</f>
        <v/>
      </c>
      <c r="U5" s="10">
        <f>IF($AF5="","",INDEX(파견수련계획!$X$4:$X$83,$AF5))</f>
        <v/>
      </c>
      <c r="V5" s="17">
        <f>IF($AF5="","",INDEX(파견수련계획!$V$4:$V$83,$AF5))</f>
        <v/>
      </c>
      <c r="W5" s="17">
        <f>IF(AND($U5="파견중",$T5&lt;&gt;""),$T5-TODAY(),"")</f>
        <v/>
      </c>
      <c r="X5" s="17">
        <f>IF(OR($B5="",TRIM($J5&amp;"")=""),"",SUMPRODUCT((파견수련계획!$Q$4:$Q$83=TRIM($J5&amp;""))*파견수련계획!$W$4:$W$83))</f>
        <v/>
      </c>
      <c r="Y5" s="10">
        <f>IF($B5="","",IF($AG5="","",IF(IF(TRIM($J5&amp;"")="",0,SUMPRODUCT((파견수련계획!$Q$4:$Q$83=TRIM($J5&amp;""))*파견수련계획!$AD$4:$AD$83))&gt;0,$AE5,IF(N($X5)&lt;=0,$AG5,IF($AH5+$AI5=DAY(EOMONTH(요약!$B$3,0)),IF(AND($AH5&gt;=요약!$E$3,$AI5&lt;요약!$E$3),"서울병원",IF(AND($AI5&gt;=요약!$E$3,$AH5&lt;요약!$E$3),"구리병원","⚠15일 판정불가(서울 "&amp;$AH5&amp;"일/구리 "&amp;$AI5&amp;"일)")),IF($AJ5="",$AE5,IF(INDEX(파견수련계획!$T$4:$T$83,$AJ5)="통합수련",INDEX(파견수련계획!$S$4:$S$83,$AJ5),$AE5)))))))</f>
        <v/>
      </c>
      <c r="Z5" s="19">
        <f>IF($B5="","",IF($AB5="","기본자료에 없는 사번",IF(COUNTIF($B$2:$B$61,$B5)&gt;1,"중복 사번",IF($AE5="","소속(입사장소) 입력",IF(IF(TRIM($J5&amp;"")="",0,SUMPRODUCT((파견수련계획!$Q$4:$Q$83=TRIM($J5&amp;""))*(파견수련계획!$AA$4:$AA$83&lt;&gt;"")))&gt;0,"파견수련계획 입력오류 확인",IF(LEFT($Y5,1)="⚠","서울·구리 15일 판정 불가(양쪽 모두 이상/미만)",IF(IF($AC5="",0,N(INDEX(인턴근무계획!$T$3:$T$62,$AC5)))&gt;0,"인턴계획 입력오류 확인",IF(AND($AC5&lt;&gt;"",$U5&lt;&gt;"파견중",$N5&lt;&gt;$AE5),"인턴 타지역 근무: 파견 여부 확인","정상"))))))))</f>
        <v/>
      </c>
      <c r="AA5" s="5" t="inlineStr">
        <is>
          <t>예시 데이터(종료됨)</t>
        </is>
      </c>
      <c r="AB5" s="10">
        <f>IF($B5="","",IFERROR(MATCH($B5,기본자료!$B$2:$B$301,0),IFERROR(MATCH($B5&amp;"",기본자료!$B$2:$B$301,0),IFERROR(MATCH(VALUE($B5),기본자료!$B$2:$B$301,0),""))))</f>
        <v/>
      </c>
      <c r="AC5" s="10">
        <f>IF($B5="","",IFERROR(MATCH($B5,인턴근무계획!$D$3:$D$62,0),IFERROR(MATCH($B5&amp;"",인턴근무계획!$D$3:$D$62,0),IFERROR(MATCH(VALUE($B5),인턴근무계획!$D$3:$D$62,0),""))))</f>
        <v/>
      </c>
      <c r="AD5" s="10">
        <f>IF(OR($AC5="",인턴현황!$G$3=""),"",INDEX(인턴근무계획!$M$3:$R$62,$AC5,인턴현황!$G$3)&amp;"")</f>
        <v/>
      </c>
      <c r="AE5" s="10">
        <f>IF($B5="","",IF($M5&lt;&gt;"",$M5,IF($AF5&lt;&gt;"",IF(LEFT(INDEX(파견수련계획!$R$4:$R$83,$AF5),1)&lt;&gt;"⚠",INDEX(파견수련계획!$R$4:$R$83,$AF5),IF($H5="","",IF(RIGHT($H5,2)="병원",$H5,$H5&amp;"병원"))),IF($H5="","",IF(RIGHT($H5,2)="병원",$H5,$H5&amp;"병원")))))</f>
        <v/>
      </c>
      <c r="AF5" s="10">
        <f>IF(OR($B5="",TRIM($J5&amp;"")=""),"",IFERROR(MATCH(TRIM($J5&amp;"")&amp;"|파견중",파견수련계획!$Y$4:$Y$83,0),IFERROR(MATCH(TRIM($J5&amp;"")&amp;"|파견예정",파견수련계획!$Y$4:$Y$83,0),IFERROR(MATCH(TRIM($J5&amp;"")&amp;"|파견종료",파견수련계획!$Y$4:$Y$83,0),""))))</f>
        <v/>
      </c>
      <c r="AG5" s="10">
        <f>IF($B5="","",IF(AND(IF(OR($AC5="",인턴현황!$K$2=""),"",INDEX(인턴근무계획!$M$3:$R$62,$AC5,인턴현황!$K$2)&amp;"")&lt;&gt;"",LEFT(IF(OR($AC5="",인턴현황!$K$2=""),"",INDEX(인턴근무계획!$M$3:$R$62,$AC5,인턴현황!$K$2)&amp;""),1)&lt;&gt;"⚠"),LEFT(IF(OR($AC5="",인턴현황!$K$2=""),"",INDEX(인턴근무계획!$M$3:$R$62,$AC5,인턴현황!$K$2)&amp;""),FIND(" ",IF(OR($AC5="",인턴현황!$K$2=""),"",INDEX(인턴근무계획!$M$3:$R$62,$AC5,인턴현황!$K$2)&amp;""))-1),$AE5))</f>
        <v/>
      </c>
      <c r="AH5" s="17">
        <f>IF($B5="","",IF(TRIM($J5&amp;"")="",0,SUMPRODUCT((파견수련계획!$Q$4:$Q$83=TRIM($J5&amp;""))*(파견수련계획!$S$4:$S$83="서울병원")*파견수련계획!$W$4:$W$83))+IF($AG5="서울병원",MAX(0,DAY(EOMONTH(요약!$B$3,0))-N($X5)),0))</f>
        <v/>
      </c>
      <c r="AI5" s="17">
        <f>IF($B5="","",IF(TRIM($J5&amp;"")="",0,SUMPRODUCT((파견수련계획!$Q$4:$Q$83=TRIM($J5&amp;""))*(파견수련계획!$S$4:$S$83="구리병원")*파견수련계획!$W$4:$W$83))+IF($AG5="구리병원",MAX(0,DAY(EOMONTH(요약!$B$3,0))-N($X5)),0))</f>
        <v/>
      </c>
      <c r="AJ5" s="10">
        <f>IF(OR($B5="",TRIM($J5&amp;"")=""),"",IFERROR(MATCH(TRIM($J5&amp;"")&amp;"|월",파견수련계획!$Z$4:$Z$83,0),""))</f>
        <v/>
      </c>
      <c r="AK5" s="10">
        <f>IF(OR($B5="",TRIM($J5&amp;"")=""),"",IFERROR(MATCH(TRIM($J5&amp;"")&amp;"|다기관",파견수련계획!$AE$4:$AE$83,0),""))</f>
        <v/>
      </c>
      <c r="AL5" s="10">
        <f>IF($AK5="","","다기관 "&amp;TEXT(INDEX(파견수련계획!$AB$4:$AB$83,$AK5),"yyyy-mm-dd")&amp;"~"&amp;IF(ISNUMBER(INDEX(파견수련계획!$AC$4:$AC$83,$AK5)),TEXT(INDEX(파견수련계획!$AC$4:$AC$83,$AK5),"yyyy-mm-dd"),""))</f>
        <v/>
      </c>
    </row>
    <row r="6">
      <c r="A6" s="10">
        <f>IF(B6="","",ROW()-1)</f>
        <v/>
      </c>
      <c r="B6" s="18" t="inlineStr">
        <is>
          <t>2261216</t>
        </is>
      </c>
      <c r="C6" s="10">
        <f>IF($AB6="","",IF(INDEX(기본자료!$C$2:$C$301,$AB6)="","",INDEX(기본자료!$C$2:$C$301,$AB6)))</f>
        <v/>
      </c>
      <c r="D6" s="10">
        <f>IF($AB6="","",IF(INDEX(기본자료!$J$2:$J$301,$AB6)="","",INDEX(기본자료!$J$2:$J$301,$AB6)))</f>
        <v/>
      </c>
      <c r="E6" s="11">
        <f>IF($AB6="","",IF(INDEX(기본자료!$K$2:$K$301,$AB6)="","",IF(NOT(ISNUMBER(INDEX(기본자료!$K$2:$K$301,$AB6))),INDEX(기본자료!$K$2:$K$301,$AB6),IF(INDEX(기본자료!$K$2:$K$301,$AB6)&lt;1000000,INDEX(기본자료!$K$2:$K$301,$AB6),IF(AND(INDEX(기본자료!$K$2:$K$301,$AB6)&gt;=10000101,INT(MOD(INDEX(기본자료!$K$2:$K$301,$AB6),10000)/100)&gt;=1,INT(MOD(INDEX(기본자료!$K$2:$K$301,$AB6),10000)/100)&lt;=12,MOD(INDEX(기본자료!$K$2:$K$301,$AB6),100)&gt;=1,MOD(INDEX(기본자료!$K$2:$K$301,$AB6),100)&lt;=31),DATE(INT(INDEX(기본자료!$K$2:$K$301,$AB6)/10000),INT(MOD(INDEX(기본자료!$K$2:$K$301,$AB6),10000)/100),MOD(INDEX(기본자료!$K$2:$K$301,$AB6),100)),INDEX(기본자료!$K$2:$K$301,$AB6)&amp;"")))))</f>
        <v/>
      </c>
      <c r="F6" s="10">
        <f>IF($AB6="","",IF(INDEX(기본자료!$D$2:$D$301,$AB6)="","",INDEX(기본자료!$D$2:$D$301,$AB6)))</f>
        <v/>
      </c>
      <c r="G6" s="10">
        <f>IF($AB6="","",IF(INDEX(기본자료!$E$2:$E$301,$AB6)="","",INDEX(기본자료!$E$2:$E$301,$AB6)))</f>
        <v/>
      </c>
      <c r="H6" s="10">
        <f>IF($AB6="","",IF(INDEX(기본자료!$F$2:$F$301,$AB6)="","",INDEX(기본자료!$F$2:$F$301,$AB6)))</f>
        <v/>
      </c>
      <c r="I6" s="11">
        <f>IF($AB6="","",IF(INDEX(기본자료!$G$2:$G$301,$AB6)="","",IF(NOT(ISNUMBER(INDEX(기본자료!$G$2:$G$301,$AB6))),INDEX(기본자료!$G$2:$G$301,$AB6),IF(INDEX(기본자료!$G$2:$G$301,$AB6)&lt;1000000,INDEX(기본자료!$G$2:$G$301,$AB6),IF(AND(INDEX(기본자료!$G$2:$G$301,$AB6)&gt;=10000101,INT(MOD(INDEX(기본자료!$G$2:$G$301,$AB6),10000)/100)&gt;=1,INT(MOD(INDEX(기본자료!$G$2:$G$301,$AB6),10000)/100)&lt;=12,MOD(INDEX(기본자료!$G$2:$G$301,$AB6),100)&gt;=1,MOD(INDEX(기본자료!$G$2:$G$301,$AB6),100)&lt;=31),DATE(INT(INDEX(기본자료!$G$2:$G$301,$AB6)/10000),INT(MOD(INDEX(기본자료!$G$2:$G$301,$AB6),10000)/100),MOD(INDEX(기본자료!$G$2:$G$301,$AB6),100)),INDEX(기본자료!$G$2:$G$301,$AB6)&amp;"")))))</f>
        <v/>
      </c>
      <c r="J6" s="10">
        <f>IF($AB6="","",IF(INDEX(기본자료!$H$2:$H$301,$AB6)="","",INDEX(기본자료!$H$2:$H$301,$AB6)))</f>
        <v/>
      </c>
      <c r="K6" s="10">
        <f>IF($AB6="","",IF(INDEX(기본자료!$I$2:$I$301,$AB6)="","",INDEX(기본자료!$I$2:$I$301,$AB6)))</f>
        <v/>
      </c>
      <c r="L6" s="10">
        <f>IF($AB6="","",IF(INDEX(기본자료!$A$2:$A$301,$AB6)="","",INDEX(기본자료!$A$2:$A$301,$AB6)))</f>
        <v/>
      </c>
      <c r="M6" s="15" t="inlineStr">
        <is>
          <t>구리병원</t>
        </is>
      </c>
      <c r="N6" s="10">
        <f>IF($B6="","",IF(AND($U6="파견중",$Q6&lt;&gt;""),$Q6,IF(AND($AD6&lt;&gt;"",LEFT($AD6,1)&lt;&gt;"⚠"),LEFT($AD6,FIND(" ",$AD6)-1),IF($H6="","",IF(RIGHT($H6,2)="병원",$H6,$H6&amp;"병원")))))</f>
        <v/>
      </c>
      <c r="O6" s="10">
        <f>IF($B6="","",IF(AND($U6="파견중",$Q6&lt;&gt;""),IF($R6&lt;&gt;"",$R6,"파견과 미입력"),IF(AND($AD6&lt;&gt;"",LEFT($AD6,1)&lt;&gt;"⚠"),MID($AD6,FIND(" ",$AD6)+1,60),IF($F6="","",IF($F6="인턴","수련교육부(인턴)",$F6)))))</f>
        <v/>
      </c>
      <c r="P6" s="10">
        <f>IF($B6="","",IF($AK6&lt;&gt;"",IF(AND(TODAY()&gt;=INDEX(파견수련계획!$AB$4:$AB$83,$AK6),OR(NOT(ISNUMBER(INDEX(파견수련계획!$AC$4:$AC$83,$AK6))),TODAY()&lt;=INDEX(파견수련계획!$AC$4:$AC$83,$AK6))),"다기관",IF($AF6="","",INDEX(파견수련계획!$T$4:$T$83,$AF6))),IF($AF6="","",INDEX(파견수련계획!$T$4:$T$83,$AF6))))</f>
        <v/>
      </c>
      <c r="Q6" s="10">
        <f>IF($AF6="","",INDEX(파견수련계획!$S$4:$S$83,$AF6))</f>
        <v/>
      </c>
      <c r="R6" s="10">
        <f>IF($AF6="","",INDEX(파견수련계획!$U$4:$U$83,$AF6))</f>
        <v/>
      </c>
      <c r="S6" s="11">
        <f>IF($AF6="","",IF(INDEX(파견수련계획!$H$4:$H$83,$AF6)="","",INDEX(파견수련계획!$H$4:$H$83,$AF6)))</f>
        <v/>
      </c>
      <c r="T6" s="11">
        <f>IF($AF6="","",IF(INDEX(파견수련계획!$I$4:$I$83,$AF6)="","",INDEX(파견수련계획!$I$4:$I$83,$AF6)))</f>
        <v/>
      </c>
      <c r="U6" s="10">
        <f>IF($AF6="","",INDEX(파견수련계획!$X$4:$X$83,$AF6))</f>
        <v/>
      </c>
      <c r="V6" s="17">
        <f>IF($AF6="","",INDEX(파견수련계획!$V$4:$V$83,$AF6))</f>
        <v/>
      </c>
      <c r="W6" s="17">
        <f>IF(AND($U6="파견중",$T6&lt;&gt;""),$T6-TODAY(),"")</f>
        <v/>
      </c>
      <c r="X6" s="17">
        <f>IF(OR($B6="",TRIM($J6&amp;"")=""),"",SUMPRODUCT((파견수련계획!$Q$4:$Q$83=TRIM($J6&amp;""))*파견수련계획!$W$4:$W$83))</f>
        <v/>
      </c>
      <c r="Y6" s="10">
        <f>IF($B6="","",IF($AG6="","",IF(IF(TRIM($J6&amp;"")="",0,SUMPRODUCT((파견수련계획!$Q$4:$Q$83=TRIM($J6&amp;""))*파견수련계획!$AD$4:$AD$83))&gt;0,$AE6,IF(N($X6)&lt;=0,$AG6,IF($AH6+$AI6=DAY(EOMONTH(요약!$B$3,0)),IF(AND($AH6&gt;=요약!$E$3,$AI6&lt;요약!$E$3),"서울병원",IF(AND($AI6&gt;=요약!$E$3,$AH6&lt;요약!$E$3),"구리병원","⚠15일 판정불가(서울 "&amp;$AH6&amp;"일/구리 "&amp;$AI6&amp;"일)")),IF($AJ6="",$AE6,IF(INDEX(파견수련계획!$T$4:$T$83,$AJ6)="통합수련",INDEX(파견수련계획!$S$4:$S$83,$AJ6),$AE6)))))))</f>
        <v/>
      </c>
      <c r="Z6" s="19">
        <f>IF($B6="","",IF($AB6="","기본자료에 없는 사번",IF(COUNTIF($B$2:$B$61,$B6)&gt;1,"중복 사번",IF($AE6="","소속(입사장소) 입력",IF(IF(TRIM($J6&amp;"")="",0,SUMPRODUCT((파견수련계획!$Q$4:$Q$83=TRIM($J6&amp;""))*(파견수련계획!$AA$4:$AA$83&lt;&gt;"")))&gt;0,"파견수련계획 입력오류 확인",IF(LEFT($Y6,1)="⚠","서울·구리 15일 판정 불가(양쪽 모두 이상/미만)",IF(IF($AC6="",0,N(INDEX(인턴근무계획!$T$3:$T$62,$AC6)))&gt;0,"인턴계획 입력오류 확인",IF(AND($AC6&lt;&gt;"",$U6&lt;&gt;"파견중",$N6&lt;&gt;$AE6),"인턴 타지역 근무: 파견 여부 확인","정상"))))))))</f>
        <v/>
      </c>
      <c r="AA6" s="5" t="inlineStr">
        <is>
          <t>예시 데이터</t>
        </is>
      </c>
      <c r="AB6" s="10">
        <f>IF($B6="","",IFERROR(MATCH($B6,기본자료!$B$2:$B$301,0),IFERROR(MATCH($B6&amp;"",기본자료!$B$2:$B$301,0),IFERROR(MATCH(VALUE($B6),기본자료!$B$2:$B$301,0),""))))</f>
        <v/>
      </c>
      <c r="AC6" s="10">
        <f>IF($B6="","",IFERROR(MATCH($B6,인턴근무계획!$D$3:$D$62,0),IFERROR(MATCH($B6&amp;"",인턴근무계획!$D$3:$D$62,0),IFERROR(MATCH(VALUE($B6),인턴근무계획!$D$3:$D$62,0),""))))</f>
        <v/>
      </c>
      <c r="AD6" s="10">
        <f>IF(OR($AC6="",인턴현황!$G$3=""),"",INDEX(인턴근무계획!$M$3:$R$62,$AC6,인턴현황!$G$3)&amp;"")</f>
        <v/>
      </c>
      <c r="AE6" s="10">
        <f>IF($B6="","",IF($M6&lt;&gt;"",$M6,IF($AF6&lt;&gt;"",IF(LEFT(INDEX(파견수련계획!$R$4:$R$83,$AF6),1)&lt;&gt;"⚠",INDEX(파견수련계획!$R$4:$R$83,$AF6),IF($H6="","",IF(RIGHT($H6,2)="병원",$H6,$H6&amp;"병원"))),IF($H6="","",IF(RIGHT($H6,2)="병원",$H6,$H6&amp;"병원")))))</f>
        <v/>
      </c>
      <c r="AF6" s="10">
        <f>IF(OR($B6="",TRIM($J6&amp;"")=""),"",IFERROR(MATCH(TRIM($J6&amp;"")&amp;"|파견중",파견수련계획!$Y$4:$Y$83,0),IFERROR(MATCH(TRIM($J6&amp;"")&amp;"|파견예정",파견수련계획!$Y$4:$Y$83,0),IFERROR(MATCH(TRIM($J6&amp;"")&amp;"|파견종료",파견수련계획!$Y$4:$Y$83,0),""))))</f>
        <v/>
      </c>
      <c r="AG6" s="10">
        <f>IF($B6="","",IF(AND(IF(OR($AC6="",인턴현황!$K$2=""),"",INDEX(인턴근무계획!$M$3:$R$62,$AC6,인턴현황!$K$2)&amp;"")&lt;&gt;"",LEFT(IF(OR($AC6="",인턴현황!$K$2=""),"",INDEX(인턴근무계획!$M$3:$R$62,$AC6,인턴현황!$K$2)&amp;""),1)&lt;&gt;"⚠"),LEFT(IF(OR($AC6="",인턴현황!$K$2=""),"",INDEX(인턴근무계획!$M$3:$R$62,$AC6,인턴현황!$K$2)&amp;""),FIND(" ",IF(OR($AC6="",인턴현황!$K$2=""),"",INDEX(인턴근무계획!$M$3:$R$62,$AC6,인턴현황!$K$2)&amp;""))-1),$AE6))</f>
        <v/>
      </c>
      <c r="AH6" s="17">
        <f>IF($B6="","",IF(TRIM($J6&amp;"")="",0,SUMPRODUCT((파견수련계획!$Q$4:$Q$83=TRIM($J6&amp;""))*(파견수련계획!$S$4:$S$83="서울병원")*파견수련계획!$W$4:$W$83))+IF($AG6="서울병원",MAX(0,DAY(EOMONTH(요약!$B$3,0))-N($X6)),0))</f>
        <v/>
      </c>
      <c r="AI6" s="17">
        <f>IF($B6="","",IF(TRIM($J6&amp;"")="",0,SUMPRODUCT((파견수련계획!$Q$4:$Q$83=TRIM($J6&amp;""))*(파견수련계획!$S$4:$S$83="구리병원")*파견수련계획!$W$4:$W$83))+IF($AG6="구리병원",MAX(0,DAY(EOMONTH(요약!$B$3,0))-N($X6)),0))</f>
        <v/>
      </c>
      <c r="AJ6" s="10">
        <f>IF(OR($B6="",TRIM($J6&amp;"")=""),"",IFERROR(MATCH(TRIM($J6&amp;"")&amp;"|월",파견수련계획!$Z$4:$Z$83,0),""))</f>
        <v/>
      </c>
      <c r="AK6" s="10">
        <f>IF(OR($B6="",TRIM($J6&amp;"")=""),"",IFERROR(MATCH(TRIM($J6&amp;"")&amp;"|다기관",파견수련계획!$AE$4:$AE$83,0),""))</f>
        <v/>
      </c>
      <c r="AL6" s="10">
        <f>IF($AK6="","","다기관 "&amp;TEXT(INDEX(파견수련계획!$AB$4:$AB$83,$AK6),"yyyy-mm-dd")&amp;"~"&amp;IF(ISNUMBER(INDEX(파견수련계획!$AC$4:$AC$83,$AK6)),TEXT(INDEX(파견수련계획!$AC$4:$AC$83,$AK6),"yyyy-mm-dd"),""))</f>
        <v/>
      </c>
    </row>
    <row r="7">
      <c r="A7" s="10">
        <f>IF(B7="","",ROW()-1)</f>
        <v/>
      </c>
      <c r="B7" s="18" t="inlineStr">
        <is>
          <t>222222</t>
        </is>
      </c>
      <c r="C7" s="10">
        <f>IF($AB7="","",IF(INDEX(기본자료!$C$2:$C$301,$AB7)="","",INDEX(기본자료!$C$2:$C$301,$AB7)))</f>
        <v/>
      </c>
      <c r="D7" s="10">
        <f>IF($AB7="","",IF(INDEX(기본자료!$J$2:$J$301,$AB7)="","",INDEX(기본자료!$J$2:$J$301,$AB7)))</f>
        <v/>
      </c>
      <c r="E7" s="11">
        <f>IF($AB7="","",IF(INDEX(기본자료!$K$2:$K$301,$AB7)="","",IF(NOT(ISNUMBER(INDEX(기본자료!$K$2:$K$301,$AB7))),INDEX(기본자료!$K$2:$K$301,$AB7),IF(INDEX(기본자료!$K$2:$K$301,$AB7)&lt;1000000,INDEX(기본자료!$K$2:$K$301,$AB7),IF(AND(INDEX(기본자료!$K$2:$K$301,$AB7)&gt;=10000101,INT(MOD(INDEX(기본자료!$K$2:$K$301,$AB7),10000)/100)&gt;=1,INT(MOD(INDEX(기본자료!$K$2:$K$301,$AB7),10000)/100)&lt;=12,MOD(INDEX(기본자료!$K$2:$K$301,$AB7),100)&gt;=1,MOD(INDEX(기본자료!$K$2:$K$301,$AB7),100)&lt;=31),DATE(INT(INDEX(기본자료!$K$2:$K$301,$AB7)/10000),INT(MOD(INDEX(기본자료!$K$2:$K$301,$AB7),10000)/100),MOD(INDEX(기본자료!$K$2:$K$301,$AB7),100)),INDEX(기본자료!$K$2:$K$301,$AB7)&amp;"")))))</f>
        <v/>
      </c>
      <c r="F7" s="10">
        <f>IF($AB7="","",IF(INDEX(기본자료!$D$2:$D$301,$AB7)="","",INDEX(기본자료!$D$2:$D$301,$AB7)))</f>
        <v/>
      </c>
      <c r="G7" s="10">
        <f>IF($AB7="","",IF(INDEX(기본자료!$E$2:$E$301,$AB7)="","",INDEX(기본자료!$E$2:$E$301,$AB7)))</f>
        <v/>
      </c>
      <c r="H7" s="10">
        <f>IF($AB7="","",IF(INDEX(기본자료!$F$2:$F$301,$AB7)="","",INDEX(기본자료!$F$2:$F$301,$AB7)))</f>
        <v/>
      </c>
      <c r="I7" s="11">
        <f>IF($AB7="","",IF(INDEX(기본자료!$G$2:$G$301,$AB7)="","",IF(NOT(ISNUMBER(INDEX(기본자료!$G$2:$G$301,$AB7))),INDEX(기본자료!$G$2:$G$301,$AB7),IF(INDEX(기본자료!$G$2:$G$301,$AB7)&lt;1000000,INDEX(기본자료!$G$2:$G$301,$AB7),IF(AND(INDEX(기본자료!$G$2:$G$301,$AB7)&gt;=10000101,INT(MOD(INDEX(기본자료!$G$2:$G$301,$AB7),10000)/100)&gt;=1,INT(MOD(INDEX(기본자료!$G$2:$G$301,$AB7),10000)/100)&lt;=12,MOD(INDEX(기본자료!$G$2:$G$301,$AB7),100)&gt;=1,MOD(INDEX(기본자료!$G$2:$G$301,$AB7),100)&lt;=31),DATE(INT(INDEX(기본자료!$G$2:$G$301,$AB7)/10000),INT(MOD(INDEX(기본자료!$G$2:$G$301,$AB7),10000)/100),MOD(INDEX(기본자료!$G$2:$G$301,$AB7),100)),INDEX(기본자료!$G$2:$G$301,$AB7)&amp;"")))))</f>
        <v/>
      </c>
      <c r="J7" s="10">
        <f>IF($AB7="","",IF(INDEX(기본자료!$H$2:$H$301,$AB7)="","",INDEX(기본자료!$H$2:$H$301,$AB7)))</f>
        <v/>
      </c>
      <c r="K7" s="10">
        <f>IF($AB7="","",IF(INDEX(기본자료!$I$2:$I$301,$AB7)="","",INDEX(기본자료!$I$2:$I$301,$AB7)))</f>
        <v/>
      </c>
      <c r="L7" s="10">
        <f>IF($AB7="","",IF(INDEX(기본자료!$A$2:$A$301,$AB7)="","",INDEX(기본자료!$A$2:$A$301,$AB7)))</f>
        <v/>
      </c>
      <c r="M7" s="15" t="inlineStr">
        <is>
          <t>서울병원</t>
        </is>
      </c>
      <c r="N7" s="10">
        <f>IF($B7="","",IF(AND($U7="파견중",$Q7&lt;&gt;""),$Q7,IF(AND($AD7&lt;&gt;"",LEFT($AD7,1)&lt;&gt;"⚠"),LEFT($AD7,FIND(" ",$AD7)-1),IF($H7="","",IF(RIGHT($H7,2)="병원",$H7,$H7&amp;"병원")))))</f>
        <v/>
      </c>
      <c r="O7" s="10">
        <f>IF($B7="","",IF(AND($U7="파견중",$Q7&lt;&gt;""),IF($R7&lt;&gt;"",$R7,"파견과 미입력"),IF(AND($AD7&lt;&gt;"",LEFT($AD7,1)&lt;&gt;"⚠"),MID($AD7,FIND(" ",$AD7)+1,60),IF($F7="","",IF($F7="인턴","수련교육부(인턴)",$F7)))))</f>
        <v/>
      </c>
      <c r="P7" s="10">
        <f>IF($B7="","",IF($AK7&lt;&gt;"",IF(AND(TODAY()&gt;=INDEX(파견수련계획!$AB$4:$AB$83,$AK7),OR(NOT(ISNUMBER(INDEX(파견수련계획!$AC$4:$AC$83,$AK7))),TODAY()&lt;=INDEX(파견수련계획!$AC$4:$AC$83,$AK7))),"다기관",IF($AF7="","",INDEX(파견수련계획!$T$4:$T$83,$AF7))),IF($AF7="","",INDEX(파견수련계획!$T$4:$T$83,$AF7))))</f>
        <v/>
      </c>
      <c r="Q7" s="10">
        <f>IF($AF7="","",INDEX(파견수련계획!$S$4:$S$83,$AF7))</f>
        <v/>
      </c>
      <c r="R7" s="10">
        <f>IF($AF7="","",INDEX(파견수련계획!$U$4:$U$83,$AF7))</f>
        <v/>
      </c>
      <c r="S7" s="11">
        <f>IF($AF7="","",IF(INDEX(파견수련계획!$H$4:$H$83,$AF7)="","",INDEX(파견수련계획!$H$4:$H$83,$AF7)))</f>
        <v/>
      </c>
      <c r="T7" s="11">
        <f>IF($AF7="","",IF(INDEX(파견수련계획!$I$4:$I$83,$AF7)="","",INDEX(파견수련계획!$I$4:$I$83,$AF7)))</f>
        <v/>
      </c>
      <c r="U7" s="10">
        <f>IF($AF7="","",INDEX(파견수련계획!$X$4:$X$83,$AF7))</f>
        <v/>
      </c>
      <c r="V7" s="17">
        <f>IF($AF7="","",INDEX(파견수련계획!$V$4:$V$83,$AF7))</f>
        <v/>
      </c>
      <c r="W7" s="17">
        <f>IF(AND($U7="파견중",$T7&lt;&gt;""),$T7-TODAY(),"")</f>
        <v/>
      </c>
      <c r="X7" s="17">
        <f>IF(OR($B7="",TRIM($J7&amp;"")=""),"",SUMPRODUCT((파견수련계획!$Q$4:$Q$83=TRIM($J7&amp;""))*파견수련계획!$W$4:$W$83))</f>
        <v/>
      </c>
      <c r="Y7" s="10">
        <f>IF($B7="","",IF($AG7="","",IF(IF(TRIM($J7&amp;"")="",0,SUMPRODUCT((파견수련계획!$Q$4:$Q$83=TRIM($J7&amp;""))*파견수련계획!$AD$4:$AD$83))&gt;0,$AE7,IF(N($X7)&lt;=0,$AG7,IF($AH7+$AI7=DAY(EOMONTH(요약!$B$3,0)),IF(AND($AH7&gt;=요약!$E$3,$AI7&lt;요약!$E$3),"서울병원",IF(AND($AI7&gt;=요약!$E$3,$AH7&lt;요약!$E$3),"구리병원","⚠15일 판정불가(서울 "&amp;$AH7&amp;"일/구리 "&amp;$AI7&amp;"일)")),IF($AJ7="",$AE7,IF(INDEX(파견수련계획!$T$4:$T$83,$AJ7)="통합수련",INDEX(파견수련계획!$S$4:$S$83,$AJ7),$AE7)))))))</f>
        <v/>
      </c>
      <c r="Z7" s="19">
        <f>IF($B7="","",IF($AB7="","기본자료에 없는 사번",IF(COUNTIF($B$2:$B$61,$B7)&gt;1,"중복 사번",IF($AE7="","소속(입사장소) 입력",IF(IF(TRIM($J7&amp;"")="",0,SUMPRODUCT((파견수련계획!$Q$4:$Q$83=TRIM($J7&amp;""))*(파견수련계획!$AA$4:$AA$83&lt;&gt;"")))&gt;0,"파견수련계획 입력오류 확인",IF(LEFT($Y7,1)="⚠","서울·구리 15일 판정 불가(양쪽 모두 이상/미만)",IF(IF($AC7="",0,N(INDEX(인턴근무계획!$T$3:$T$62,$AC7)))&gt;0,"인턴계획 입력오류 확인",IF(AND($AC7&lt;&gt;"",$U7&lt;&gt;"파견중",$N7&lt;&gt;$AE7),"인턴 타지역 근무: 파견 여부 확인","정상"))))))))</f>
        <v/>
      </c>
      <c r="AA7" s="5" t="inlineStr">
        <is>
          <t>예시 데이터(인턴)</t>
        </is>
      </c>
      <c r="AB7" s="10">
        <f>IF($B7="","",IFERROR(MATCH($B7,기본자료!$B$2:$B$301,0),IFERROR(MATCH($B7&amp;"",기본자료!$B$2:$B$301,0),IFERROR(MATCH(VALUE($B7),기본자료!$B$2:$B$301,0),""))))</f>
        <v/>
      </c>
      <c r="AC7" s="10">
        <f>IF($B7="","",IFERROR(MATCH($B7,인턴근무계획!$D$3:$D$62,0),IFERROR(MATCH($B7&amp;"",인턴근무계획!$D$3:$D$62,0),IFERROR(MATCH(VALUE($B7),인턴근무계획!$D$3:$D$62,0),""))))</f>
        <v/>
      </c>
      <c r="AD7" s="10">
        <f>IF(OR($AC7="",인턴현황!$G$3=""),"",INDEX(인턴근무계획!$M$3:$R$62,$AC7,인턴현황!$G$3)&amp;"")</f>
        <v/>
      </c>
      <c r="AE7" s="10">
        <f>IF($B7="","",IF($M7&lt;&gt;"",$M7,IF($AF7&lt;&gt;"",IF(LEFT(INDEX(파견수련계획!$R$4:$R$83,$AF7),1)&lt;&gt;"⚠",INDEX(파견수련계획!$R$4:$R$83,$AF7),IF($H7="","",IF(RIGHT($H7,2)="병원",$H7,$H7&amp;"병원"))),IF($H7="","",IF(RIGHT($H7,2)="병원",$H7,$H7&amp;"병원")))))</f>
        <v/>
      </c>
      <c r="AF7" s="10">
        <f>IF(OR($B7="",TRIM($J7&amp;"")=""),"",IFERROR(MATCH(TRIM($J7&amp;"")&amp;"|파견중",파견수련계획!$Y$4:$Y$83,0),IFERROR(MATCH(TRIM($J7&amp;"")&amp;"|파견예정",파견수련계획!$Y$4:$Y$83,0),IFERROR(MATCH(TRIM($J7&amp;"")&amp;"|파견종료",파견수련계획!$Y$4:$Y$83,0),""))))</f>
        <v/>
      </c>
      <c r="AG7" s="10">
        <f>IF($B7="","",IF(AND(IF(OR($AC7="",인턴현황!$K$2=""),"",INDEX(인턴근무계획!$M$3:$R$62,$AC7,인턴현황!$K$2)&amp;"")&lt;&gt;"",LEFT(IF(OR($AC7="",인턴현황!$K$2=""),"",INDEX(인턴근무계획!$M$3:$R$62,$AC7,인턴현황!$K$2)&amp;""),1)&lt;&gt;"⚠"),LEFT(IF(OR($AC7="",인턴현황!$K$2=""),"",INDEX(인턴근무계획!$M$3:$R$62,$AC7,인턴현황!$K$2)&amp;""),FIND(" ",IF(OR($AC7="",인턴현황!$K$2=""),"",INDEX(인턴근무계획!$M$3:$R$62,$AC7,인턴현황!$K$2)&amp;""))-1),$AE7))</f>
        <v/>
      </c>
      <c r="AH7" s="17">
        <f>IF($B7="","",IF(TRIM($J7&amp;"")="",0,SUMPRODUCT((파견수련계획!$Q$4:$Q$83=TRIM($J7&amp;""))*(파견수련계획!$S$4:$S$83="서울병원")*파견수련계획!$W$4:$W$83))+IF($AG7="서울병원",MAX(0,DAY(EOMONTH(요약!$B$3,0))-N($X7)),0))</f>
        <v/>
      </c>
      <c r="AI7" s="17">
        <f>IF($B7="","",IF(TRIM($J7&amp;"")="",0,SUMPRODUCT((파견수련계획!$Q$4:$Q$83=TRIM($J7&amp;""))*(파견수련계획!$S$4:$S$83="구리병원")*파견수련계획!$W$4:$W$83))+IF($AG7="구리병원",MAX(0,DAY(EOMONTH(요약!$B$3,0))-N($X7)),0))</f>
        <v/>
      </c>
      <c r="AJ7" s="10">
        <f>IF(OR($B7="",TRIM($J7&amp;"")=""),"",IFERROR(MATCH(TRIM($J7&amp;"")&amp;"|월",파견수련계획!$Z$4:$Z$83,0),""))</f>
        <v/>
      </c>
      <c r="AK7" s="10">
        <f>IF(OR($B7="",TRIM($J7&amp;"")=""),"",IFERROR(MATCH(TRIM($J7&amp;"")&amp;"|다기관",파견수련계획!$AE$4:$AE$83,0),""))</f>
        <v/>
      </c>
      <c r="AL7" s="10">
        <f>IF($AK7="","","다기관 "&amp;TEXT(INDEX(파견수련계획!$AB$4:$AB$83,$AK7),"yyyy-mm-dd")&amp;"~"&amp;IF(ISNUMBER(INDEX(파견수련계획!$AC$4:$AC$83,$AK7)),TEXT(INDEX(파견수련계획!$AC$4:$AC$83,$AK7),"yyyy-mm-dd"),""))</f>
        <v/>
      </c>
    </row>
    <row r="8">
      <c r="A8" s="10">
        <f>IF(B8="","",ROW()-1)</f>
        <v/>
      </c>
      <c r="B8" s="18" t="inlineStr">
        <is>
          <t>222223</t>
        </is>
      </c>
      <c r="C8" s="10">
        <f>IF($AB8="","",IF(INDEX(기본자료!$C$2:$C$301,$AB8)="","",INDEX(기본자료!$C$2:$C$301,$AB8)))</f>
        <v/>
      </c>
      <c r="D8" s="10">
        <f>IF($AB8="","",IF(INDEX(기본자료!$J$2:$J$301,$AB8)="","",INDEX(기본자료!$J$2:$J$301,$AB8)))</f>
        <v/>
      </c>
      <c r="E8" s="11">
        <f>IF($AB8="","",IF(INDEX(기본자료!$K$2:$K$301,$AB8)="","",IF(NOT(ISNUMBER(INDEX(기본자료!$K$2:$K$301,$AB8))),INDEX(기본자료!$K$2:$K$301,$AB8),IF(INDEX(기본자료!$K$2:$K$301,$AB8)&lt;1000000,INDEX(기본자료!$K$2:$K$301,$AB8),IF(AND(INDEX(기본자료!$K$2:$K$301,$AB8)&gt;=10000101,INT(MOD(INDEX(기본자료!$K$2:$K$301,$AB8),10000)/100)&gt;=1,INT(MOD(INDEX(기본자료!$K$2:$K$301,$AB8),10000)/100)&lt;=12,MOD(INDEX(기본자료!$K$2:$K$301,$AB8),100)&gt;=1,MOD(INDEX(기본자료!$K$2:$K$301,$AB8),100)&lt;=31),DATE(INT(INDEX(기본자료!$K$2:$K$301,$AB8)/10000),INT(MOD(INDEX(기본자료!$K$2:$K$301,$AB8),10000)/100),MOD(INDEX(기본자료!$K$2:$K$301,$AB8),100)),INDEX(기본자료!$K$2:$K$301,$AB8)&amp;"")))))</f>
        <v/>
      </c>
      <c r="F8" s="10">
        <f>IF($AB8="","",IF(INDEX(기본자료!$D$2:$D$301,$AB8)="","",INDEX(기본자료!$D$2:$D$301,$AB8)))</f>
        <v/>
      </c>
      <c r="G8" s="10">
        <f>IF($AB8="","",IF(INDEX(기본자료!$E$2:$E$301,$AB8)="","",INDEX(기본자료!$E$2:$E$301,$AB8)))</f>
        <v/>
      </c>
      <c r="H8" s="10">
        <f>IF($AB8="","",IF(INDEX(기본자료!$F$2:$F$301,$AB8)="","",INDEX(기본자료!$F$2:$F$301,$AB8)))</f>
        <v/>
      </c>
      <c r="I8" s="11">
        <f>IF($AB8="","",IF(INDEX(기본자료!$G$2:$G$301,$AB8)="","",IF(NOT(ISNUMBER(INDEX(기본자료!$G$2:$G$301,$AB8))),INDEX(기본자료!$G$2:$G$301,$AB8),IF(INDEX(기본자료!$G$2:$G$301,$AB8)&lt;1000000,INDEX(기본자료!$G$2:$G$301,$AB8),IF(AND(INDEX(기본자료!$G$2:$G$301,$AB8)&gt;=10000101,INT(MOD(INDEX(기본자료!$G$2:$G$301,$AB8),10000)/100)&gt;=1,INT(MOD(INDEX(기본자료!$G$2:$G$301,$AB8),10000)/100)&lt;=12,MOD(INDEX(기본자료!$G$2:$G$301,$AB8),100)&gt;=1,MOD(INDEX(기본자료!$G$2:$G$301,$AB8),100)&lt;=31),DATE(INT(INDEX(기본자료!$G$2:$G$301,$AB8)/10000),INT(MOD(INDEX(기본자료!$G$2:$G$301,$AB8),10000)/100),MOD(INDEX(기본자료!$G$2:$G$301,$AB8),100)),INDEX(기본자료!$G$2:$G$301,$AB8)&amp;"")))))</f>
        <v/>
      </c>
      <c r="J8" s="10">
        <f>IF($AB8="","",IF(INDEX(기본자료!$H$2:$H$301,$AB8)="","",INDEX(기본자료!$H$2:$H$301,$AB8)))</f>
        <v/>
      </c>
      <c r="K8" s="10">
        <f>IF($AB8="","",IF(INDEX(기본자료!$I$2:$I$301,$AB8)="","",INDEX(기본자료!$I$2:$I$301,$AB8)))</f>
        <v/>
      </c>
      <c r="L8" s="10">
        <f>IF($AB8="","",IF(INDEX(기본자료!$A$2:$A$301,$AB8)="","",INDEX(기본자료!$A$2:$A$301,$AB8)))</f>
        <v/>
      </c>
      <c r="M8" s="15" t="inlineStr">
        <is>
          <t>서울병원</t>
        </is>
      </c>
      <c r="N8" s="10">
        <f>IF($B8="","",IF(AND($U8="파견중",$Q8&lt;&gt;""),$Q8,IF(AND($AD8&lt;&gt;"",LEFT($AD8,1)&lt;&gt;"⚠"),LEFT($AD8,FIND(" ",$AD8)-1),IF($H8="","",IF(RIGHT($H8,2)="병원",$H8,$H8&amp;"병원")))))</f>
        <v/>
      </c>
      <c r="O8" s="10">
        <f>IF($B8="","",IF(AND($U8="파견중",$Q8&lt;&gt;""),IF($R8&lt;&gt;"",$R8,"파견과 미입력"),IF(AND($AD8&lt;&gt;"",LEFT($AD8,1)&lt;&gt;"⚠"),MID($AD8,FIND(" ",$AD8)+1,60),IF($F8="","",IF($F8="인턴","수련교육부(인턴)",$F8)))))</f>
        <v/>
      </c>
      <c r="P8" s="10">
        <f>IF($B8="","",IF($AK8&lt;&gt;"",IF(AND(TODAY()&gt;=INDEX(파견수련계획!$AB$4:$AB$83,$AK8),OR(NOT(ISNUMBER(INDEX(파견수련계획!$AC$4:$AC$83,$AK8))),TODAY()&lt;=INDEX(파견수련계획!$AC$4:$AC$83,$AK8))),"다기관",IF($AF8="","",INDEX(파견수련계획!$T$4:$T$83,$AF8))),IF($AF8="","",INDEX(파견수련계획!$T$4:$T$83,$AF8))))</f>
        <v/>
      </c>
      <c r="Q8" s="10">
        <f>IF($AF8="","",INDEX(파견수련계획!$S$4:$S$83,$AF8))</f>
        <v/>
      </c>
      <c r="R8" s="10">
        <f>IF($AF8="","",INDEX(파견수련계획!$U$4:$U$83,$AF8))</f>
        <v/>
      </c>
      <c r="S8" s="11">
        <f>IF($AF8="","",IF(INDEX(파견수련계획!$H$4:$H$83,$AF8)="","",INDEX(파견수련계획!$H$4:$H$83,$AF8)))</f>
        <v/>
      </c>
      <c r="T8" s="11">
        <f>IF($AF8="","",IF(INDEX(파견수련계획!$I$4:$I$83,$AF8)="","",INDEX(파견수련계획!$I$4:$I$83,$AF8)))</f>
        <v/>
      </c>
      <c r="U8" s="10">
        <f>IF($AF8="","",INDEX(파견수련계획!$X$4:$X$83,$AF8))</f>
        <v/>
      </c>
      <c r="V8" s="17">
        <f>IF($AF8="","",INDEX(파견수련계획!$V$4:$V$83,$AF8))</f>
        <v/>
      </c>
      <c r="W8" s="17">
        <f>IF(AND($U8="파견중",$T8&lt;&gt;""),$T8-TODAY(),"")</f>
        <v/>
      </c>
      <c r="X8" s="17">
        <f>IF(OR($B8="",TRIM($J8&amp;"")=""),"",SUMPRODUCT((파견수련계획!$Q$4:$Q$83=TRIM($J8&amp;""))*파견수련계획!$W$4:$W$83))</f>
        <v/>
      </c>
      <c r="Y8" s="10">
        <f>IF($B8="","",IF($AG8="","",IF(IF(TRIM($J8&amp;"")="",0,SUMPRODUCT((파견수련계획!$Q$4:$Q$83=TRIM($J8&amp;""))*파견수련계획!$AD$4:$AD$83))&gt;0,$AE8,IF(N($X8)&lt;=0,$AG8,IF($AH8+$AI8=DAY(EOMONTH(요약!$B$3,0)),IF(AND($AH8&gt;=요약!$E$3,$AI8&lt;요약!$E$3),"서울병원",IF(AND($AI8&gt;=요약!$E$3,$AH8&lt;요약!$E$3),"구리병원","⚠15일 판정불가(서울 "&amp;$AH8&amp;"일/구리 "&amp;$AI8&amp;"일)")),IF($AJ8="",$AE8,IF(INDEX(파견수련계획!$T$4:$T$83,$AJ8)="통합수련",INDEX(파견수련계획!$S$4:$S$83,$AJ8),$AE8)))))))</f>
        <v/>
      </c>
      <c r="Z8" s="19">
        <f>IF($B8="","",IF($AB8="","기본자료에 없는 사번",IF(COUNTIF($B$2:$B$61,$B8)&gt;1,"중복 사번",IF($AE8="","소속(입사장소) 입력",IF(IF(TRIM($J8&amp;"")="",0,SUMPRODUCT((파견수련계획!$Q$4:$Q$83=TRIM($J8&amp;""))*(파견수련계획!$AA$4:$AA$83&lt;&gt;"")))&gt;0,"파견수련계획 입력오류 확인",IF(LEFT($Y8,1)="⚠","서울·구리 15일 판정 불가(양쪽 모두 이상/미만)",IF(IF($AC8="",0,N(INDEX(인턴근무계획!$T$3:$T$62,$AC8)))&gt;0,"인턴계획 입력오류 확인",IF(AND($AC8&lt;&gt;"",$U8&lt;&gt;"파견중",$N8&lt;&gt;$AE8),"인턴 타지역 근무: 파견 여부 확인","정상"))))))))</f>
        <v/>
      </c>
      <c r="AA8" s="5" t="inlineStr">
        <is>
          <t>예시 데이터(인턴)</t>
        </is>
      </c>
      <c r="AB8" s="10">
        <f>IF($B8="","",IFERROR(MATCH($B8,기본자료!$B$2:$B$301,0),IFERROR(MATCH($B8&amp;"",기본자료!$B$2:$B$301,0),IFERROR(MATCH(VALUE($B8),기본자료!$B$2:$B$301,0),""))))</f>
        <v/>
      </c>
      <c r="AC8" s="10">
        <f>IF($B8="","",IFERROR(MATCH($B8,인턴근무계획!$D$3:$D$62,0),IFERROR(MATCH($B8&amp;"",인턴근무계획!$D$3:$D$62,0),IFERROR(MATCH(VALUE($B8),인턴근무계획!$D$3:$D$62,0),""))))</f>
        <v/>
      </c>
      <c r="AD8" s="10">
        <f>IF(OR($AC8="",인턴현황!$G$3=""),"",INDEX(인턴근무계획!$M$3:$R$62,$AC8,인턴현황!$G$3)&amp;"")</f>
        <v/>
      </c>
      <c r="AE8" s="10">
        <f>IF($B8="","",IF($M8&lt;&gt;"",$M8,IF($AF8&lt;&gt;"",IF(LEFT(INDEX(파견수련계획!$R$4:$R$83,$AF8),1)&lt;&gt;"⚠",INDEX(파견수련계획!$R$4:$R$83,$AF8),IF($H8="","",IF(RIGHT($H8,2)="병원",$H8,$H8&amp;"병원"))),IF($H8="","",IF(RIGHT($H8,2)="병원",$H8,$H8&amp;"병원")))))</f>
        <v/>
      </c>
      <c r="AF8" s="10">
        <f>IF(OR($B8="",TRIM($J8&amp;"")=""),"",IFERROR(MATCH(TRIM($J8&amp;"")&amp;"|파견중",파견수련계획!$Y$4:$Y$83,0),IFERROR(MATCH(TRIM($J8&amp;"")&amp;"|파견예정",파견수련계획!$Y$4:$Y$83,0),IFERROR(MATCH(TRIM($J8&amp;"")&amp;"|파견종료",파견수련계획!$Y$4:$Y$83,0),""))))</f>
        <v/>
      </c>
      <c r="AG8" s="10">
        <f>IF($B8="","",IF(AND(IF(OR($AC8="",인턴현황!$K$2=""),"",INDEX(인턴근무계획!$M$3:$R$62,$AC8,인턴현황!$K$2)&amp;"")&lt;&gt;"",LEFT(IF(OR($AC8="",인턴현황!$K$2=""),"",INDEX(인턴근무계획!$M$3:$R$62,$AC8,인턴현황!$K$2)&amp;""),1)&lt;&gt;"⚠"),LEFT(IF(OR($AC8="",인턴현황!$K$2=""),"",INDEX(인턴근무계획!$M$3:$R$62,$AC8,인턴현황!$K$2)&amp;""),FIND(" ",IF(OR($AC8="",인턴현황!$K$2=""),"",INDEX(인턴근무계획!$M$3:$R$62,$AC8,인턴현황!$K$2)&amp;""))-1),$AE8))</f>
        <v/>
      </c>
      <c r="AH8" s="17">
        <f>IF($B8="","",IF(TRIM($J8&amp;"")="",0,SUMPRODUCT((파견수련계획!$Q$4:$Q$83=TRIM($J8&amp;""))*(파견수련계획!$S$4:$S$83="서울병원")*파견수련계획!$W$4:$W$83))+IF($AG8="서울병원",MAX(0,DAY(EOMONTH(요약!$B$3,0))-N($X8)),0))</f>
        <v/>
      </c>
      <c r="AI8" s="17">
        <f>IF($B8="","",IF(TRIM($J8&amp;"")="",0,SUMPRODUCT((파견수련계획!$Q$4:$Q$83=TRIM($J8&amp;""))*(파견수련계획!$S$4:$S$83="구리병원")*파견수련계획!$W$4:$W$83))+IF($AG8="구리병원",MAX(0,DAY(EOMONTH(요약!$B$3,0))-N($X8)),0))</f>
        <v/>
      </c>
      <c r="AJ8" s="10">
        <f>IF(OR($B8="",TRIM($J8&amp;"")=""),"",IFERROR(MATCH(TRIM($J8&amp;"")&amp;"|월",파견수련계획!$Z$4:$Z$83,0),""))</f>
        <v/>
      </c>
      <c r="AK8" s="10">
        <f>IF(OR($B8="",TRIM($J8&amp;"")=""),"",IFERROR(MATCH(TRIM($J8&amp;"")&amp;"|다기관",파견수련계획!$AE$4:$AE$83,0),""))</f>
        <v/>
      </c>
      <c r="AL8" s="10">
        <f>IF($AK8="","","다기관 "&amp;TEXT(INDEX(파견수련계획!$AB$4:$AB$83,$AK8),"yyyy-mm-dd")&amp;"~"&amp;IF(ISNUMBER(INDEX(파견수련계획!$AC$4:$AC$83,$AK8)),TEXT(INDEX(파견수련계획!$AC$4:$AC$83,$AK8),"yyyy-mm-dd"),""))</f>
        <v/>
      </c>
    </row>
    <row r="9">
      <c r="A9" s="10">
        <f>IF(B9="","",ROW()-1)</f>
        <v/>
      </c>
      <c r="B9" s="18" t="inlineStr">
        <is>
          <t>222224</t>
        </is>
      </c>
      <c r="C9" s="10">
        <f>IF($AB9="","",IF(INDEX(기본자료!$C$2:$C$301,$AB9)="","",INDEX(기본자료!$C$2:$C$301,$AB9)))</f>
        <v/>
      </c>
      <c r="D9" s="10">
        <f>IF($AB9="","",IF(INDEX(기본자료!$J$2:$J$301,$AB9)="","",INDEX(기본자료!$J$2:$J$301,$AB9)))</f>
        <v/>
      </c>
      <c r="E9" s="11">
        <f>IF($AB9="","",IF(INDEX(기본자료!$K$2:$K$301,$AB9)="","",IF(NOT(ISNUMBER(INDEX(기본자료!$K$2:$K$301,$AB9))),INDEX(기본자료!$K$2:$K$301,$AB9),IF(INDEX(기본자료!$K$2:$K$301,$AB9)&lt;1000000,INDEX(기본자료!$K$2:$K$301,$AB9),IF(AND(INDEX(기본자료!$K$2:$K$301,$AB9)&gt;=10000101,INT(MOD(INDEX(기본자료!$K$2:$K$301,$AB9),10000)/100)&gt;=1,INT(MOD(INDEX(기본자료!$K$2:$K$301,$AB9),10000)/100)&lt;=12,MOD(INDEX(기본자료!$K$2:$K$301,$AB9),100)&gt;=1,MOD(INDEX(기본자료!$K$2:$K$301,$AB9),100)&lt;=31),DATE(INT(INDEX(기본자료!$K$2:$K$301,$AB9)/10000),INT(MOD(INDEX(기본자료!$K$2:$K$301,$AB9),10000)/100),MOD(INDEX(기본자료!$K$2:$K$301,$AB9),100)),INDEX(기본자료!$K$2:$K$301,$AB9)&amp;"")))))</f>
        <v/>
      </c>
      <c r="F9" s="10">
        <f>IF($AB9="","",IF(INDEX(기본자료!$D$2:$D$301,$AB9)="","",INDEX(기본자료!$D$2:$D$301,$AB9)))</f>
        <v/>
      </c>
      <c r="G9" s="10">
        <f>IF($AB9="","",IF(INDEX(기본자료!$E$2:$E$301,$AB9)="","",INDEX(기본자료!$E$2:$E$301,$AB9)))</f>
        <v/>
      </c>
      <c r="H9" s="10">
        <f>IF($AB9="","",IF(INDEX(기본자료!$F$2:$F$301,$AB9)="","",INDEX(기본자료!$F$2:$F$301,$AB9)))</f>
        <v/>
      </c>
      <c r="I9" s="11">
        <f>IF($AB9="","",IF(INDEX(기본자료!$G$2:$G$301,$AB9)="","",IF(NOT(ISNUMBER(INDEX(기본자료!$G$2:$G$301,$AB9))),INDEX(기본자료!$G$2:$G$301,$AB9),IF(INDEX(기본자료!$G$2:$G$301,$AB9)&lt;1000000,INDEX(기본자료!$G$2:$G$301,$AB9),IF(AND(INDEX(기본자료!$G$2:$G$301,$AB9)&gt;=10000101,INT(MOD(INDEX(기본자료!$G$2:$G$301,$AB9),10000)/100)&gt;=1,INT(MOD(INDEX(기본자료!$G$2:$G$301,$AB9),10000)/100)&lt;=12,MOD(INDEX(기본자료!$G$2:$G$301,$AB9),100)&gt;=1,MOD(INDEX(기본자료!$G$2:$G$301,$AB9),100)&lt;=31),DATE(INT(INDEX(기본자료!$G$2:$G$301,$AB9)/10000),INT(MOD(INDEX(기본자료!$G$2:$G$301,$AB9),10000)/100),MOD(INDEX(기본자료!$G$2:$G$301,$AB9),100)),INDEX(기본자료!$G$2:$G$301,$AB9)&amp;"")))))</f>
        <v/>
      </c>
      <c r="J9" s="10">
        <f>IF($AB9="","",IF(INDEX(기본자료!$H$2:$H$301,$AB9)="","",INDEX(기본자료!$H$2:$H$301,$AB9)))</f>
        <v/>
      </c>
      <c r="K9" s="10">
        <f>IF($AB9="","",IF(INDEX(기본자료!$I$2:$I$301,$AB9)="","",INDEX(기본자료!$I$2:$I$301,$AB9)))</f>
        <v/>
      </c>
      <c r="L9" s="10">
        <f>IF($AB9="","",IF(INDEX(기본자료!$A$2:$A$301,$AB9)="","",INDEX(기본자료!$A$2:$A$301,$AB9)))</f>
        <v/>
      </c>
      <c r="M9" s="15" t="inlineStr">
        <is>
          <t>구리병원</t>
        </is>
      </c>
      <c r="N9" s="10">
        <f>IF($B9="","",IF(AND($U9="파견중",$Q9&lt;&gt;""),$Q9,IF(AND($AD9&lt;&gt;"",LEFT($AD9,1)&lt;&gt;"⚠"),LEFT($AD9,FIND(" ",$AD9)-1),IF($H9="","",IF(RIGHT($H9,2)="병원",$H9,$H9&amp;"병원")))))</f>
        <v/>
      </c>
      <c r="O9" s="10">
        <f>IF($B9="","",IF(AND($U9="파견중",$Q9&lt;&gt;""),IF($R9&lt;&gt;"",$R9,"파견과 미입력"),IF(AND($AD9&lt;&gt;"",LEFT($AD9,1)&lt;&gt;"⚠"),MID($AD9,FIND(" ",$AD9)+1,60),IF($F9="","",IF($F9="인턴","수련교육부(인턴)",$F9)))))</f>
        <v/>
      </c>
      <c r="P9" s="10">
        <f>IF($B9="","",IF($AK9&lt;&gt;"",IF(AND(TODAY()&gt;=INDEX(파견수련계획!$AB$4:$AB$83,$AK9),OR(NOT(ISNUMBER(INDEX(파견수련계획!$AC$4:$AC$83,$AK9))),TODAY()&lt;=INDEX(파견수련계획!$AC$4:$AC$83,$AK9))),"다기관",IF($AF9="","",INDEX(파견수련계획!$T$4:$T$83,$AF9))),IF($AF9="","",INDEX(파견수련계획!$T$4:$T$83,$AF9))))</f>
        <v/>
      </c>
      <c r="Q9" s="10">
        <f>IF($AF9="","",INDEX(파견수련계획!$S$4:$S$83,$AF9))</f>
        <v/>
      </c>
      <c r="R9" s="10">
        <f>IF($AF9="","",INDEX(파견수련계획!$U$4:$U$83,$AF9))</f>
        <v/>
      </c>
      <c r="S9" s="11">
        <f>IF($AF9="","",IF(INDEX(파견수련계획!$H$4:$H$83,$AF9)="","",INDEX(파견수련계획!$H$4:$H$83,$AF9)))</f>
        <v/>
      </c>
      <c r="T9" s="11">
        <f>IF($AF9="","",IF(INDEX(파견수련계획!$I$4:$I$83,$AF9)="","",INDEX(파견수련계획!$I$4:$I$83,$AF9)))</f>
        <v/>
      </c>
      <c r="U9" s="10">
        <f>IF($AF9="","",INDEX(파견수련계획!$X$4:$X$83,$AF9))</f>
        <v/>
      </c>
      <c r="V9" s="17">
        <f>IF($AF9="","",INDEX(파견수련계획!$V$4:$V$83,$AF9))</f>
        <v/>
      </c>
      <c r="W9" s="17">
        <f>IF(AND($U9="파견중",$T9&lt;&gt;""),$T9-TODAY(),"")</f>
        <v/>
      </c>
      <c r="X9" s="17">
        <f>IF(OR($B9="",TRIM($J9&amp;"")=""),"",SUMPRODUCT((파견수련계획!$Q$4:$Q$83=TRIM($J9&amp;""))*파견수련계획!$W$4:$W$83))</f>
        <v/>
      </c>
      <c r="Y9" s="10">
        <f>IF($B9="","",IF($AG9="","",IF(IF(TRIM($J9&amp;"")="",0,SUMPRODUCT((파견수련계획!$Q$4:$Q$83=TRIM($J9&amp;""))*파견수련계획!$AD$4:$AD$83))&gt;0,$AE9,IF(N($X9)&lt;=0,$AG9,IF($AH9+$AI9=DAY(EOMONTH(요약!$B$3,0)),IF(AND($AH9&gt;=요약!$E$3,$AI9&lt;요약!$E$3),"서울병원",IF(AND($AI9&gt;=요약!$E$3,$AH9&lt;요약!$E$3),"구리병원","⚠15일 판정불가(서울 "&amp;$AH9&amp;"일/구리 "&amp;$AI9&amp;"일)")),IF($AJ9="",$AE9,IF(INDEX(파견수련계획!$T$4:$T$83,$AJ9)="통합수련",INDEX(파견수련계획!$S$4:$S$83,$AJ9),$AE9)))))))</f>
        <v/>
      </c>
      <c r="Z9" s="19">
        <f>IF($B9="","",IF($AB9="","기본자료에 없는 사번",IF(COUNTIF($B$2:$B$61,$B9)&gt;1,"중복 사번",IF($AE9="","소속(입사장소) 입력",IF(IF(TRIM($J9&amp;"")="",0,SUMPRODUCT((파견수련계획!$Q$4:$Q$83=TRIM($J9&amp;""))*(파견수련계획!$AA$4:$AA$83&lt;&gt;"")))&gt;0,"파견수련계획 입력오류 확인",IF(LEFT($Y9,1)="⚠","서울·구리 15일 판정 불가(양쪽 모두 이상/미만)",IF(IF($AC9="",0,N(INDEX(인턴근무계획!$T$3:$T$62,$AC9)))&gt;0,"인턴계획 입력오류 확인",IF(AND($AC9&lt;&gt;"",$U9&lt;&gt;"파견중",$N9&lt;&gt;$AE9),"인턴 타지역 근무: 파견 여부 확인","정상"))))))))</f>
        <v/>
      </c>
      <c r="AA9" s="5" t="inlineStr">
        <is>
          <t>예시 데이터(인턴)</t>
        </is>
      </c>
      <c r="AB9" s="10">
        <f>IF($B9="","",IFERROR(MATCH($B9,기본자료!$B$2:$B$301,0),IFERROR(MATCH($B9&amp;"",기본자료!$B$2:$B$301,0),IFERROR(MATCH(VALUE($B9),기본자료!$B$2:$B$301,0),""))))</f>
        <v/>
      </c>
      <c r="AC9" s="10">
        <f>IF($B9="","",IFERROR(MATCH($B9,인턴근무계획!$D$3:$D$62,0),IFERROR(MATCH($B9&amp;"",인턴근무계획!$D$3:$D$62,0),IFERROR(MATCH(VALUE($B9),인턴근무계획!$D$3:$D$62,0),""))))</f>
        <v/>
      </c>
      <c r="AD9" s="10">
        <f>IF(OR($AC9="",인턴현황!$G$3=""),"",INDEX(인턴근무계획!$M$3:$R$62,$AC9,인턴현황!$G$3)&amp;"")</f>
        <v/>
      </c>
      <c r="AE9" s="10">
        <f>IF($B9="","",IF($M9&lt;&gt;"",$M9,IF($AF9&lt;&gt;"",IF(LEFT(INDEX(파견수련계획!$R$4:$R$83,$AF9),1)&lt;&gt;"⚠",INDEX(파견수련계획!$R$4:$R$83,$AF9),IF($H9="","",IF(RIGHT($H9,2)="병원",$H9,$H9&amp;"병원"))),IF($H9="","",IF(RIGHT($H9,2)="병원",$H9,$H9&amp;"병원")))))</f>
        <v/>
      </c>
      <c r="AF9" s="10">
        <f>IF(OR($B9="",TRIM($J9&amp;"")=""),"",IFERROR(MATCH(TRIM($J9&amp;"")&amp;"|파견중",파견수련계획!$Y$4:$Y$83,0),IFERROR(MATCH(TRIM($J9&amp;"")&amp;"|파견예정",파견수련계획!$Y$4:$Y$83,0),IFERROR(MATCH(TRIM($J9&amp;"")&amp;"|파견종료",파견수련계획!$Y$4:$Y$83,0),""))))</f>
        <v/>
      </c>
      <c r="AG9" s="10">
        <f>IF($B9="","",IF(AND(IF(OR($AC9="",인턴현황!$K$2=""),"",INDEX(인턴근무계획!$M$3:$R$62,$AC9,인턴현황!$K$2)&amp;"")&lt;&gt;"",LEFT(IF(OR($AC9="",인턴현황!$K$2=""),"",INDEX(인턴근무계획!$M$3:$R$62,$AC9,인턴현황!$K$2)&amp;""),1)&lt;&gt;"⚠"),LEFT(IF(OR($AC9="",인턴현황!$K$2=""),"",INDEX(인턴근무계획!$M$3:$R$62,$AC9,인턴현황!$K$2)&amp;""),FIND(" ",IF(OR($AC9="",인턴현황!$K$2=""),"",INDEX(인턴근무계획!$M$3:$R$62,$AC9,인턴현황!$K$2)&amp;""))-1),$AE9))</f>
        <v/>
      </c>
      <c r="AH9" s="17">
        <f>IF($B9="","",IF(TRIM($J9&amp;"")="",0,SUMPRODUCT((파견수련계획!$Q$4:$Q$83=TRIM($J9&amp;""))*(파견수련계획!$S$4:$S$83="서울병원")*파견수련계획!$W$4:$W$83))+IF($AG9="서울병원",MAX(0,DAY(EOMONTH(요약!$B$3,0))-N($X9)),0))</f>
        <v/>
      </c>
      <c r="AI9" s="17">
        <f>IF($B9="","",IF(TRIM($J9&amp;"")="",0,SUMPRODUCT((파견수련계획!$Q$4:$Q$83=TRIM($J9&amp;""))*(파견수련계획!$S$4:$S$83="구리병원")*파견수련계획!$W$4:$W$83))+IF($AG9="구리병원",MAX(0,DAY(EOMONTH(요약!$B$3,0))-N($X9)),0))</f>
        <v/>
      </c>
      <c r="AJ9" s="10">
        <f>IF(OR($B9="",TRIM($J9&amp;"")=""),"",IFERROR(MATCH(TRIM($J9&amp;"")&amp;"|월",파견수련계획!$Z$4:$Z$83,0),""))</f>
        <v/>
      </c>
      <c r="AK9" s="10">
        <f>IF(OR($B9="",TRIM($J9&amp;"")=""),"",IFERROR(MATCH(TRIM($J9&amp;"")&amp;"|다기관",파견수련계획!$AE$4:$AE$83,0),""))</f>
        <v/>
      </c>
      <c r="AL9" s="10">
        <f>IF($AK9="","","다기관 "&amp;TEXT(INDEX(파견수련계획!$AB$4:$AB$83,$AK9),"yyyy-mm-dd")&amp;"~"&amp;IF(ISNUMBER(INDEX(파견수련계획!$AC$4:$AC$83,$AK9)),TEXT(INDEX(파견수련계획!$AC$4:$AC$83,$AK9),"yyyy-mm-dd"),""))</f>
        <v/>
      </c>
    </row>
    <row r="10">
      <c r="A10" s="10">
        <f>IF(B10="","",ROW()-1)</f>
        <v/>
      </c>
      <c r="B10" s="18" t="n"/>
      <c r="C10" s="10">
        <f>IF($AB10="","",IF(INDEX(기본자료!$C$2:$C$301,$AB10)="","",INDEX(기본자료!$C$2:$C$301,$AB10)))</f>
        <v/>
      </c>
      <c r="D10" s="10">
        <f>IF($AB10="","",IF(INDEX(기본자료!$J$2:$J$301,$AB10)="","",INDEX(기본자료!$J$2:$J$301,$AB10)))</f>
        <v/>
      </c>
      <c r="E10" s="11">
        <f>IF($AB10="","",IF(INDEX(기본자료!$K$2:$K$301,$AB10)="","",IF(NOT(ISNUMBER(INDEX(기본자료!$K$2:$K$301,$AB10))),INDEX(기본자료!$K$2:$K$301,$AB10),IF(INDEX(기본자료!$K$2:$K$301,$AB10)&lt;1000000,INDEX(기본자료!$K$2:$K$301,$AB10),IF(AND(INDEX(기본자료!$K$2:$K$301,$AB10)&gt;=10000101,INT(MOD(INDEX(기본자료!$K$2:$K$301,$AB10),10000)/100)&gt;=1,INT(MOD(INDEX(기본자료!$K$2:$K$301,$AB10),10000)/100)&lt;=12,MOD(INDEX(기본자료!$K$2:$K$301,$AB10),100)&gt;=1,MOD(INDEX(기본자료!$K$2:$K$301,$AB10),100)&lt;=31),DATE(INT(INDEX(기본자료!$K$2:$K$301,$AB10)/10000),INT(MOD(INDEX(기본자료!$K$2:$K$301,$AB10),10000)/100),MOD(INDEX(기본자료!$K$2:$K$301,$AB10),100)),INDEX(기본자료!$K$2:$K$301,$AB10)&amp;"")))))</f>
        <v/>
      </c>
      <c r="F10" s="10">
        <f>IF($AB10="","",IF(INDEX(기본자료!$D$2:$D$301,$AB10)="","",INDEX(기본자료!$D$2:$D$301,$AB10)))</f>
        <v/>
      </c>
      <c r="G10" s="10">
        <f>IF($AB10="","",IF(INDEX(기본자료!$E$2:$E$301,$AB10)="","",INDEX(기본자료!$E$2:$E$301,$AB10)))</f>
        <v/>
      </c>
      <c r="H10" s="10">
        <f>IF($AB10="","",IF(INDEX(기본자료!$F$2:$F$301,$AB10)="","",INDEX(기본자료!$F$2:$F$301,$AB10)))</f>
        <v/>
      </c>
      <c r="I10" s="11">
        <f>IF($AB10="","",IF(INDEX(기본자료!$G$2:$G$301,$AB10)="","",IF(NOT(ISNUMBER(INDEX(기본자료!$G$2:$G$301,$AB10))),INDEX(기본자료!$G$2:$G$301,$AB10),IF(INDEX(기본자료!$G$2:$G$301,$AB10)&lt;1000000,INDEX(기본자료!$G$2:$G$301,$AB10),IF(AND(INDEX(기본자료!$G$2:$G$301,$AB10)&gt;=10000101,INT(MOD(INDEX(기본자료!$G$2:$G$301,$AB10),10000)/100)&gt;=1,INT(MOD(INDEX(기본자료!$G$2:$G$301,$AB10),10000)/100)&lt;=12,MOD(INDEX(기본자료!$G$2:$G$301,$AB10),100)&gt;=1,MOD(INDEX(기본자료!$G$2:$G$301,$AB10),100)&lt;=31),DATE(INT(INDEX(기본자료!$G$2:$G$301,$AB10)/10000),INT(MOD(INDEX(기본자료!$G$2:$G$301,$AB10),10000)/100),MOD(INDEX(기본자료!$G$2:$G$301,$AB10),100)),INDEX(기본자료!$G$2:$G$301,$AB10)&amp;"")))))</f>
        <v/>
      </c>
      <c r="J10" s="10">
        <f>IF($AB10="","",IF(INDEX(기본자료!$H$2:$H$301,$AB10)="","",INDEX(기본자료!$H$2:$H$301,$AB10)))</f>
        <v/>
      </c>
      <c r="K10" s="10">
        <f>IF($AB10="","",IF(INDEX(기본자료!$I$2:$I$301,$AB10)="","",INDEX(기본자료!$I$2:$I$301,$AB10)))</f>
        <v/>
      </c>
      <c r="L10" s="10">
        <f>IF($AB10="","",IF(INDEX(기본자료!$A$2:$A$301,$AB10)="","",INDEX(기본자료!$A$2:$A$301,$AB10)))</f>
        <v/>
      </c>
      <c r="M10" s="15" t="n"/>
      <c r="N10" s="10">
        <f>IF($B10="","",IF(AND($U10="파견중",$Q10&lt;&gt;""),$Q10,IF(AND($AD10&lt;&gt;"",LEFT($AD10,1)&lt;&gt;"⚠"),LEFT($AD10,FIND(" ",$AD10)-1),IF($H10="","",IF(RIGHT($H10,2)="병원",$H10,$H10&amp;"병원")))))</f>
        <v/>
      </c>
      <c r="O10" s="10">
        <f>IF($B10="","",IF(AND($U10="파견중",$Q10&lt;&gt;""),IF($R10&lt;&gt;"",$R10,"파견과 미입력"),IF(AND($AD10&lt;&gt;"",LEFT($AD10,1)&lt;&gt;"⚠"),MID($AD10,FIND(" ",$AD10)+1,60),IF($F10="","",IF($F10="인턴","수련교육부(인턴)",$F10)))))</f>
        <v/>
      </c>
      <c r="P10" s="10">
        <f>IF($B10="","",IF($AK10&lt;&gt;"",IF(AND(TODAY()&gt;=INDEX(파견수련계획!$AB$4:$AB$83,$AK10),OR(NOT(ISNUMBER(INDEX(파견수련계획!$AC$4:$AC$83,$AK10))),TODAY()&lt;=INDEX(파견수련계획!$AC$4:$AC$83,$AK10))),"다기관",IF($AF10="","",INDEX(파견수련계획!$T$4:$T$83,$AF10))),IF($AF10="","",INDEX(파견수련계획!$T$4:$T$83,$AF10))))</f>
        <v/>
      </c>
      <c r="Q10" s="10">
        <f>IF($AF10="","",INDEX(파견수련계획!$S$4:$S$83,$AF10))</f>
        <v/>
      </c>
      <c r="R10" s="10">
        <f>IF($AF10="","",INDEX(파견수련계획!$U$4:$U$83,$AF10))</f>
        <v/>
      </c>
      <c r="S10" s="11">
        <f>IF($AF10="","",IF(INDEX(파견수련계획!$H$4:$H$83,$AF10)="","",INDEX(파견수련계획!$H$4:$H$83,$AF10)))</f>
        <v/>
      </c>
      <c r="T10" s="11">
        <f>IF($AF10="","",IF(INDEX(파견수련계획!$I$4:$I$83,$AF10)="","",INDEX(파견수련계획!$I$4:$I$83,$AF10)))</f>
        <v/>
      </c>
      <c r="U10" s="10">
        <f>IF($AF10="","",INDEX(파견수련계획!$X$4:$X$83,$AF10))</f>
        <v/>
      </c>
      <c r="V10" s="17">
        <f>IF($AF10="","",INDEX(파견수련계획!$V$4:$V$83,$AF10))</f>
        <v/>
      </c>
      <c r="W10" s="17">
        <f>IF(AND($U10="파견중",$T10&lt;&gt;""),$T10-TODAY(),"")</f>
        <v/>
      </c>
      <c r="X10" s="17">
        <f>IF(OR($B10="",TRIM($J10&amp;"")=""),"",SUMPRODUCT((파견수련계획!$Q$4:$Q$83=TRIM($J10&amp;""))*파견수련계획!$W$4:$W$83))</f>
        <v/>
      </c>
      <c r="Y10" s="10">
        <f>IF($B10="","",IF($AG10="","",IF(IF(TRIM($J10&amp;"")="",0,SUMPRODUCT((파견수련계획!$Q$4:$Q$83=TRIM($J10&amp;""))*파견수련계획!$AD$4:$AD$83))&gt;0,$AE10,IF(N($X10)&lt;=0,$AG10,IF($AH10+$AI10=DAY(EOMONTH(요약!$B$3,0)),IF(AND($AH10&gt;=요약!$E$3,$AI10&lt;요약!$E$3),"서울병원",IF(AND($AI10&gt;=요약!$E$3,$AH10&lt;요약!$E$3),"구리병원","⚠15일 판정불가(서울 "&amp;$AH10&amp;"일/구리 "&amp;$AI10&amp;"일)")),IF($AJ10="",$AE10,IF(INDEX(파견수련계획!$T$4:$T$83,$AJ10)="통합수련",INDEX(파견수련계획!$S$4:$S$83,$AJ10),$AE10)))))))</f>
        <v/>
      </c>
      <c r="Z10" s="19">
        <f>IF($B10="","",IF($AB10="","기본자료에 없는 사번",IF(COUNTIF($B$2:$B$61,$B10)&gt;1,"중복 사번",IF($AE10="","소속(입사장소) 입력",IF(IF(TRIM($J10&amp;"")="",0,SUMPRODUCT((파견수련계획!$Q$4:$Q$83=TRIM($J10&amp;""))*(파견수련계획!$AA$4:$AA$83&lt;&gt;"")))&gt;0,"파견수련계획 입력오류 확인",IF(LEFT($Y10,1)="⚠","서울·구리 15일 판정 불가(양쪽 모두 이상/미만)",IF(IF($AC10="",0,N(INDEX(인턴근무계획!$T$3:$T$62,$AC10)))&gt;0,"인턴계획 입력오류 확인",IF(AND($AC10&lt;&gt;"",$U10&lt;&gt;"파견중",$N10&lt;&gt;$AE10),"인턴 타지역 근무: 파견 여부 확인","정상"))))))))</f>
        <v/>
      </c>
      <c r="AA10" s="5" t="n"/>
      <c r="AB10" s="10">
        <f>IF($B10="","",IFERROR(MATCH($B10,기본자료!$B$2:$B$301,0),IFERROR(MATCH($B10&amp;"",기본자료!$B$2:$B$301,0),IFERROR(MATCH(VALUE($B10),기본자료!$B$2:$B$301,0),""))))</f>
        <v/>
      </c>
      <c r="AC10" s="10">
        <f>IF($B10="","",IFERROR(MATCH($B10,인턴근무계획!$D$3:$D$62,0),IFERROR(MATCH($B10&amp;"",인턴근무계획!$D$3:$D$62,0),IFERROR(MATCH(VALUE($B10),인턴근무계획!$D$3:$D$62,0),""))))</f>
        <v/>
      </c>
      <c r="AD10" s="10">
        <f>IF(OR($AC10="",인턴현황!$G$3=""),"",INDEX(인턴근무계획!$M$3:$R$62,$AC10,인턴현황!$G$3)&amp;"")</f>
        <v/>
      </c>
      <c r="AE10" s="10">
        <f>IF($B10="","",IF($M10&lt;&gt;"",$M10,IF($AF10&lt;&gt;"",IF(LEFT(INDEX(파견수련계획!$R$4:$R$83,$AF10),1)&lt;&gt;"⚠",INDEX(파견수련계획!$R$4:$R$83,$AF10),IF($H10="","",IF(RIGHT($H10,2)="병원",$H10,$H10&amp;"병원"))),IF($H10="","",IF(RIGHT($H10,2)="병원",$H10,$H10&amp;"병원")))))</f>
        <v/>
      </c>
      <c r="AF10" s="10">
        <f>IF(OR($B10="",TRIM($J10&amp;"")=""),"",IFERROR(MATCH(TRIM($J10&amp;"")&amp;"|파견중",파견수련계획!$Y$4:$Y$83,0),IFERROR(MATCH(TRIM($J10&amp;"")&amp;"|파견예정",파견수련계획!$Y$4:$Y$83,0),IFERROR(MATCH(TRIM($J10&amp;"")&amp;"|파견종료",파견수련계획!$Y$4:$Y$83,0),""))))</f>
        <v/>
      </c>
      <c r="AG10" s="10">
        <f>IF($B10="","",IF(AND(IF(OR($AC10="",인턴현황!$K$2=""),"",INDEX(인턴근무계획!$M$3:$R$62,$AC10,인턴현황!$K$2)&amp;"")&lt;&gt;"",LEFT(IF(OR($AC10="",인턴현황!$K$2=""),"",INDEX(인턴근무계획!$M$3:$R$62,$AC10,인턴현황!$K$2)&amp;""),1)&lt;&gt;"⚠"),LEFT(IF(OR($AC10="",인턴현황!$K$2=""),"",INDEX(인턴근무계획!$M$3:$R$62,$AC10,인턴현황!$K$2)&amp;""),FIND(" ",IF(OR($AC10="",인턴현황!$K$2=""),"",INDEX(인턴근무계획!$M$3:$R$62,$AC10,인턴현황!$K$2)&amp;""))-1),$AE10))</f>
        <v/>
      </c>
      <c r="AH10" s="17">
        <f>IF($B10="","",IF(TRIM($J10&amp;"")="",0,SUMPRODUCT((파견수련계획!$Q$4:$Q$83=TRIM($J10&amp;""))*(파견수련계획!$S$4:$S$83="서울병원")*파견수련계획!$W$4:$W$83))+IF($AG10="서울병원",MAX(0,DAY(EOMONTH(요약!$B$3,0))-N($X10)),0))</f>
        <v/>
      </c>
      <c r="AI10" s="17">
        <f>IF($B10="","",IF(TRIM($J10&amp;"")="",0,SUMPRODUCT((파견수련계획!$Q$4:$Q$83=TRIM($J10&amp;""))*(파견수련계획!$S$4:$S$83="구리병원")*파견수련계획!$W$4:$W$83))+IF($AG10="구리병원",MAX(0,DAY(EOMONTH(요약!$B$3,0))-N($X10)),0))</f>
        <v/>
      </c>
      <c r="AJ10" s="10">
        <f>IF(OR($B10="",TRIM($J10&amp;"")=""),"",IFERROR(MATCH(TRIM($J10&amp;"")&amp;"|월",파견수련계획!$Z$4:$Z$83,0),""))</f>
        <v/>
      </c>
      <c r="AK10" s="10">
        <f>IF(OR($B10="",TRIM($J10&amp;"")=""),"",IFERROR(MATCH(TRIM($J10&amp;"")&amp;"|다기관",파견수련계획!$AE$4:$AE$83,0),""))</f>
        <v/>
      </c>
      <c r="AL10" s="10">
        <f>IF($AK10="","","다기관 "&amp;TEXT(INDEX(파견수련계획!$AB$4:$AB$83,$AK10),"yyyy-mm-dd")&amp;"~"&amp;IF(ISNUMBER(INDEX(파견수련계획!$AC$4:$AC$83,$AK10)),TEXT(INDEX(파견수련계획!$AC$4:$AC$83,$AK10),"yyyy-mm-dd"),""))</f>
        <v/>
      </c>
    </row>
    <row r="11">
      <c r="A11" s="10">
        <f>IF(B11="","",ROW()-1)</f>
        <v/>
      </c>
      <c r="B11" s="18" t="n"/>
      <c r="C11" s="10">
        <f>IF($AB11="","",IF(INDEX(기본자료!$C$2:$C$301,$AB11)="","",INDEX(기본자료!$C$2:$C$301,$AB11)))</f>
        <v/>
      </c>
      <c r="D11" s="10">
        <f>IF($AB11="","",IF(INDEX(기본자료!$J$2:$J$301,$AB11)="","",INDEX(기본자료!$J$2:$J$301,$AB11)))</f>
        <v/>
      </c>
      <c r="E11" s="11">
        <f>IF($AB11="","",IF(INDEX(기본자료!$K$2:$K$301,$AB11)="","",IF(NOT(ISNUMBER(INDEX(기본자료!$K$2:$K$301,$AB11))),INDEX(기본자료!$K$2:$K$301,$AB11),IF(INDEX(기본자료!$K$2:$K$301,$AB11)&lt;1000000,INDEX(기본자료!$K$2:$K$301,$AB11),IF(AND(INDEX(기본자료!$K$2:$K$301,$AB11)&gt;=10000101,INT(MOD(INDEX(기본자료!$K$2:$K$301,$AB11),10000)/100)&gt;=1,INT(MOD(INDEX(기본자료!$K$2:$K$301,$AB11),10000)/100)&lt;=12,MOD(INDEX(기본자료!$K$2:$K$301,$AB11),100)&gt;=1,MOD(INDEX(기본자료!$K$2:$K$301,$AB11),100)&lt;=31),DATE(INT(INDEX(기본자료!$K$2:$K$301,$AB11)/10000),INT(MOD(INDEX(기본자료!$K$2:$K$301,$AB11),10000)/100),MOD(INDEX(기본자료!$K$2:$K$301,$AB11),100)),INDEX(기본자료!$K$2:$K$301,$AB11)&amp;"")))))</f>
        <v/>
      </c>
      <c r="F11" s="10">
        <f>IF($AB11="","",IF(INDEX(기본자료!$D$2:$D$301,$AB11)="","",INDEX(기본자료!$D$2:$D$301,$AB11)))</f>
        <v/>
      </c>
      <c r="G11" s="10">
        <f>IF($AB11="","",IF(INDEX(기본자료!$E$2:$E$301,$AB11)="","",INDEX(기본자료!$E$2:$E$301,$AB11)))</f>
        <v/>
      </c>
      <c r="H11" s="10">
        <f>IF($AB11="","",IF(INDEX(기본자료!$F$2:$F$301,$AB11)="","",INDEX(기본자료!$F$2:$F$301,$AB11)))</f>
        <v/>
      </c>
      <c r="I11" s="11">
        <f>IF($AB11="","",IF(INDEX(기본자료!$G$2:$G$301,$AB11)="","",IF(NOT(ISNUMBER(INDEX(기본자료!$G$2:$G$301,$AB11))),INDEX(기본자료!$G$2:$G$301,$AB11),IF(INDEX(기본자료!$G$2:$G$301,$AB11)&lt;1000000,INDEX(기본자료!$G$2:$G$301,$AB11),IF(AND(INDEX(기본자료!$G$2:$G$301,$AB11)&gt;=10000101,INT(MOD(INDEX(기본자료!$G$2:$G$301,$AB11),10000)/100)&gt;=1,INT(MOD(INDEX(기본자료!$G$2:$G$301,$AB11),10000)/100)&lt;=12,MOD(INDEX(기본자료!$G$2:$G$301,$AB11),100)&gt;=1,MOD(INDEX(기본자료!$G$2:$G$301,$AB11),100)&lt;=31),DATE(INT(INDEX(기본자료!$G$2:$G$301,$AB11)/10000),INT(MOD(INDEX(기본자료!$G$2:$G$301,$AB11),10000)/100),MOD(INDEX(기본자료!$G$2:$G$301,$AB11),100)),INDEX(기본자료!$G$2:$G$301,$AB11)&amp;"")))))</f>
        <v/>
      </c>
      <c r="J11" s="10">
        <f>IF($AB11="","",IF(INDEX(기본자료!$H$2:$H$301,$AB11)="","",INDEX(기본자료!$H$2:$H$301,$AB11)))</f>
        <v/>
      </c>
      <c r="K11" s="10">
        <f>IF($AB11="","",IF(INDEX(기본자료!$I$2:$I$301,$AB11)="","",INDEX(기본자료!$I$2:$I$301,$AB11)))</f>
        <v/>
      </c>
      <c r="L11" s="10">
        <f>IF($AB11="","",IF(INDEX(기본자료!$A$2:$A$301,$AB11)="","",INDEX(기본자료!$A$2:$A$301,$AB11)))</f>
        <v/>
      </c>
      <c r="M11" s="15" t="n"/>
      <c r="N11" s="10">
        <f>IF($B11="","",IF(AND($U11="파견중",$Q11&lt;&gt;""),$Q11,IF(AND($AD11&lt;&gt;"",LEFT($AD11,1)&lt;&gt;"⚠"),LEFT($AD11,FIND(" ",$AD11)-1),IF($H11="","",IF(RIGHT($H11,2)="병원",$H11,$H11&amp;"병원")))))</f>
        <v/>
      </c>
      <c r="O11" s="10">
        <f>IF($B11="","",IF(AND($U11="파견중",$Q11&lt;&gt;""),IF($R11&lt;&gt;"",$R11,"파견과 미입력"),IF(AND($AD11&lt;&gt;"",LEFT($AD11,1)&lt;&gt;"⚠"),MID($AD11,FIND(" ",$AD11)+1,60),IF($F11="","",IF($F11="인턴","수련교육부(인턴)",$F11)))))</f>
        <v/>
      </c>
      <c r="P11" s="10">
        <f>IF($B11="","",IF($AK11&lt;&gt;"",IF(AND(TODAY()&gt;=INDEX(파견수련계획!$AB$4:$AB$83,$AK11),OR(NOT(ISNUMBER(INDEX(파견수련계획!$AC$4:$AC$83,$AK11))),TODAY()&lt;=INDEX(파견수련계획!$AC$4:$AC$83,$AK11))),"다기관",IF($AF11="","",INDEX(파견수련계획!$T$4:$T$83,$AF11))),IF($AF11="","",INDEX(파견수련계획!$T$4:$T$83,$AF11))))</f>
        <v/>
      </c>
      <c r="Q11" s="10">
        <f>IF($AF11="","",INDEX(파견수련계획!$S$4:$S$83,$AF11))</f>
        <v/>
      </c>
      <c r="R11" s="10">
        <f>IF($AF11="","",INDEX(파견수련계획!$U$4:$U$83,$AF11))</f>
        <v/>
      </c>
      <c r="S11" s="11">
        <f>IF($AF11="","",IF(INDEX(파견수련계획!$H$4:$H$83,$AF11)="","",INDEX(파견수련계획!$H$4:$H$83,$AF11)))</f>
        <v/>
      </c>
      <c r="T11" s="11">
        <f>IF($AF11="","",IF(INDEX(파견수련계획!$I$4:$I$83,$AF11)="","",INDEX(파견수련계획!$I$4:$I$83,$AF11)))</f>
        <v/>
      </c>
      <c r="U11" s="10">
        <f>IF($AF11="","",INDEX(파견수련계획!$X$4:$X$83,$AF11))</f>
        <v/>
      </c>
      <c r="V11" s="17">
        <f>IF($AF11="","",INDEX(파견수련계획!$V$4:$V$83,$AF11))</f>
        <v/>
      </c>
      <c r="W11" s="17">
        <f>IF(AND($U11="파견중",$T11&lt;&gt;""),$T11-TODAY(),"")</f>
        <v/>
      </c>
      <c r="X11" s="17">
        <f>IF(OR($B11="",TRIM($J11&amp;"")=""),"",SUMPRODUCT((파견수련계획!$Q$4:$Q$83=TRIM($J11&amp;""))*파견수련계획!$W$4:$W$83))</f>
        <v/>
      </c>
      <c r="Y11" s="10">
        <f>IF($B11="","",IF($AG11="","",IF(IF(TRIM($J11&amp;"")="",0,SUMPRODUCT((파견수련계획!$Q$4:$Q$83=TRIM($J11&amp;""))*파견수련계획!$AD$4:$AD$83))&gt;0,$AE11,IF(N($X11)&lt;=0,$AG11,IF($AH11+$AI11=DAY(EOMONTH(요약!$B$3,0)),IF(AND($AH11&gt;=요약!$E$3,$AI11&lt;요약!$E$3),"서울병원",IF(AND($AI11&gt;=요약!$E$3,$AH11&lt;요약!$E$3),"구리병원","⚠15일 판정불가(서울 "&amp;$AH11&amp;"일/구리 "&amp;$AI11&amp;"일)")),IF($AJ11="",$AE11,IF(INDEX(파견수련계획!$T$4:$T$83,$AJ11)="통합수련",INDEX(파견수련계획!$S$4:$S$83,$AJ11),$AE11)))))))</f>
        <v/>
      </c>
      <c r="Z11" s="19">
        <f>IF($B11="","",IF($AB11="","기본자료에 없는 사번",IF(COUNTIF($B$2:$B$61,$B11)&gt;1,"중복 사번",IF($AE11="","소속(입사장소) 입력",IF(IF(TRIM($J11&amp;"")="",0,SUMPRODUCT((파견수련계획!$Q$4:$Q$83=TRIM($J11&amp;""))*(파견수련계획!$AA$4:$AA$83&lt;&gt;"")))&gt;0,"파견수련계획 입력오류 확인",IF(LEFT($Y11,1)="⚠","서울·구리 15일 판정 불가(양쪽 모두 이상/미만)",IF(IF($AC11="",0,N(INDEX(인턴근무계획!$T$3:$T$62,$AC11)))&gt;0,"인턴계획 입력오류 확인",IF(AND($AC11&lt;&gt;"",$U11&lt;&gt;"파견중",$N11&lt;&gt;$AE11),"인턴 타지역 근무: 파견 여부 확인","정상"))))))))</f>
        <v/>
      </c>
      <c r="AA11" s="5" t="n"/>
      <c r="AB11" s="10">
        <f>IF($B11="","",IFERROR(MATCH($B11,기본자료!$B$2:$B$301,0),IFERROR(MATCH($B11&amp;"",기본자료!$B$2:$B$301,0),IFERROR(MATCH(VALUE($B11),기본자료!$B$2:$B$301,0),""))))</f>
        <v/>
      </c>
      <c r="AC11" s="10">
        <f>IF($B11="","",IFERROR(MATCH($B11,인턴근무계획!$D$3:$D$62,0),IFERROR(MATCH($B11&amp;"",인턴근무계획!$D$3:$D$62,0),IFERROR(MATCH(VALUE($B11),인턴근무계획!$D$3:$D$62,0),""))))</f>
        <v/>
      </c>
      <c r="AD11" s="10">
        <f>IF(OR($AC11="",인턴현황!$G$3=""),"",INDEX(인턴근무계획!$M$3:$R$62,$AC11,인턴현황!$G$3)&amp;"")</f>
        <v/>
      </c>
      <c r="AE11" s="10">
        <f>IF($B11="","",IF($M11&lt;&gt;"",$M11,IF($AF11&lt;&gt;"",IF(LEFT(INDEX(파견수련계획!$R$4:$R$83,$AF11),1)&lt;&gt;"⚠",INDEX(파견수련계획!$R$4:$R$83,$AF11),IF($H11="","",IF(RIGHT($H11,2)="병원",$H11,$H11&amp;"병원"))),IF($H11="","",IF(RIGHT($H11,2)="병원",$H11,$H11&amp;"병원")))))</f>
        <v/>
      </c>
      <c r="AF11" s="10">
        <f>IF(OR($B11="",TRIM($J11&amp;"")=""),"",IFERROR(MATCH(TRIM($J11&amp;"")&amp;"|파견중",파견수련계획!$Y$4:$Y$83,0),IFERROR(MATCH(TRIM($J11&amp;"")&amp;"|파견예정",파견수련계획!$Y$4:$Y$83,0),IFERROR(MATCH(TRIM($J11&amp;"")&amp;"|파견종료",파견수련계획!$Y$4:$Y$83,0),""))))</f>
        <v/>
      </c>
      <c r="AG11" s="10">
        <f>IF($B11="","",IF(AND(IF(OR($AC11="",인턴현황!$K$2=""),"",INDEX(인턴근무계획!$M$3:$R$62,$AC11,인턴현황!$K$2)&amp;"")&lt;&gt;"",LEFT(IF(OR($AC11="",인턴현황!$K$2=""),"",INDEX(인턴근무계획!$M$3:$R$62,$AC11,인턴현황!$K$2)&amp;""),1)&lt;&gt;"⚠"),LEFT(IF(OR($AC11="",인턴현황!$K$2=""),"",INDEX(인턴근무계획!$M$3:$R$62,$AC11,인턴현황!$K$2)&amp;""),FIND(" ",IF(OR($AC11="",인턴현황!$K$2=""),"",INDEX(인턴근무계획!$M$3:$R$62,$AC11,인턴현황!$K$2)&amp;""))-1),$AE11))</f>
        <v/>
      </c>
      <c r="AH11" s="17">
        <f>IF($B11="","",IF(TRIM($J11&amp;"")="",0,SUMPRODUCT((파견수련계획!$Q$4:$Q$83=TRIM($J11&amp;""))*(파견수련계획!$S$4:$S$83="서울병원")*파견수련계획!$W$4:$W$83))+IF($AG11="서울병원",MAX(0,DAY(EOMONTH(요약!$B$3,0))-N($X11)),0))</f>
        <v/>
      </c>
      <c r="AI11" s="17">
        <f>IF($B11="","",IF(TRIM($J11&amp;"")="",0,SUMPRODUCT((파견수련계획!$Q$4:$Q$83=TRIM($J11&amp;""))*(파견수련계획!$S$4:$S$83="구리병원")*파견수련계획!$W$4:$W$83))+IF($AG11="구리병원",MAX(0,DAY(EOMONTH(요약!$B$3,0))-N($X11)),0))</f>
        <v/>
      </c>
      <c r="AJ11" s="10">
        <f>IF(OR($B11="",TRIM($J11&amp;"")=""),"",IFERROR(MATCH(TRIM($J11&amp;"")&amp;"|월",파견수련계획!$Z$4:$Z$83,0),""))</f>
        <v/>
      </c>
      <c r="AK11" s="10">
        <f>IF(OR($B11="",TRIM($J11&amp;"")=""),"",IFERROR(MATCH(TRIM($J11&amp;"")&amp;"|다기관",파견수련계획!$AE$4:$AE$83,0),""))</f>
        <v/>
      </c>
      <c r="AL11" s="10">
        <f>IF($AK11="","","다기관 "&amp;TEXT(INDEX(파견수련계획!$AB$4:$AB$83,$AK11),"yyyy-mm-dd")&amp;"~"&amp;IF(ISNUMBER(INDEX(파견수련계획!$AC$4:$AC$83,$AK11)),TEXT(INDEX(파견수련계획!$AC$4:$AC$83,$AK11),"yyyy-mm-dd"),""))</f>
        <v/>
      </c>
    </row>
    <row r="12">
      <c r="A12" s="10">
        <f>IF(B12="","",ROW()-1)</f>
        <v/>
      </c>
      <c r="B12" s="18" t="n"/>
      <c r="C12" s="10">
        <f>IF($AB12="","",IF(INDEX(기본자료!$C$2:$C$301,$AB12)="","",INDEX(기본자료!$C$2:$C$301,$AB12)))</f>
        <v/>
      </c>
      <c r="D12" s="10">
        <f>IF($AB12="","",IF(INDEX(기본자료!$J$2:$J$301,$AB12)="","",INDEX(기본자료!$J$2:$J$301,$AB12)))</f>
        <v/>
      </c>
      <c r="E12" s="11">
        <f>IF($AB12="","",IF(INDEX(기본자료!$K$2:$K$301,$AB12)="","",IF(NOT(ISNUMBER(INDEX(기본자료!$K$2:$K$301,$AB12))),INDEX(기본자료!$K$2:$K$301,$AB12),IF(INDEX(기본자료!$K$2:$K$301,$AB12)&lt;1000000,INDEX(기본자료!$K$2:$K$301,$AB12),IF(AND(INDEX(기본자료!$K$2:$K$301,$AB12)&gt;=10000101,INT(MOD(INDEX(기본자료!$K$2:$K$301,$AB12),10000)/100)&gt;=1,INT(MOD(INDEX(기본자료!$K$2:$K$301,$AB12),10000)/100)&lt;=12,MOD(INDEX(기본자료!$K$2:$K$301,$AB12),100)&gt;=1,MOD(INDEX(기본자료!$K$2:$K$301,$AB12),100)&lt;=31),DATE(INT(INDEX(기본자료!$K$2:$K$301,$AB12)/10000),INT(MOD(INDEX(기본자료!$K$2:$K$301,$AB12),10000)/100),MOD(INDEX(기본자료!$K$2:$K$301,$AB12),100)),INDEX(기본자료!$K$2:$K$301,$AB12)&amp;"")))))</f>
        <v/>
      </c>
      <c r="F12" s="10">
        <f>IF($AB12="","",IF(INDEX(기본자료!$D$2:$D$301,$AB12)="","",INDEX(기본자료!$D$2:$D$301,$AB12)))</f>
        <v/>
      </c>
      <c r="G12" s="10">
        <f>IF($AB12="","",IF(INDEX(기본자료!$E$2:$E$301,$AB12)="","",INDEX(기본자료!$E$2:$E$301,$AB12)))</f>
        <v/>
      </c>
      <c r="H12" s="10">
        <f>IF($AB12="","",IF(INDEX(기본자료!$F$2:$F$301,$AB12)="","",INDEX(기본자료!$F$2:$F$301,$AB12)))</f>
        <v/>
      </c>
      <c r="I12" s="11">
        <f>IF($AB12="","",IF(INDEX(기본자료!$G$2:$G$301,$AB12)="","",IF(NOT(ISNUMBER(INDEX(기본자료!$G$2:$G$301,$AB12))),INDEX(기본자료!$G$2:$G$301,$AB12),IF(INDEX(기본자료!$G$2:$G$301,$AB12)&lt;1000000,INDEX(기본자료!$G$2:$G$301,$AB12),IF(AND(INDEX(기본자료!$G$2:$G$301,$AB12)&gt;=10000101,INT(MOD(INDEX(기본자료!$G$2:$G$301,$AB12),10000)/100)&gt;=1,INT(MOD(INDEX(기본자료!$G$2:$G$301,$AB12),10000)/100)&lt;=12,MOD(INDEX(기본자료!$G$2:$G$301,$AB12),100)&gt;=1,MOD(INDEX(기본자료!$G$2:$G$301,$AB12),100)&lt;=31),DATE(INT(INDEX(기본자료!$G$2:$G$301,$AB12)/10000),INT(MOD(INDEX(기본자료!$G$2:$G$301,$AB12),10000)/100),MOD(INDEX(기본자료!$G$2:$G$301,$AB12),100)),INDEX(기본자료!$G$2:$G$301,$AB12)&amp;"")))))</f>
        <v/>
      </c>
      <c r="J12" s="10">
        <f>IF($AB12="","",IF(INDEX(기본자료!$H$2:$H$301,$AB12)="","",INDEX(기본자료!$H$2:$H$301,$AB12)))</f>
        <v/>
      </c>
      <c r="K12" s="10">
        <f>IF($AB12="","",IF(INDEX(기본자료!$I$2:$I$301,$AB12)="","",INDEX(기본자료!$I$2:$I$301,$AB12)))</f>
        <v/>
      </c>
      <c r="L12" s="10">
        <f>IF($AB12="","",IF(INDEX(기본자료!$A$2:$A$301,$AB12)="","",INDEX(기본자료!$A$2:$A$301,$AB12)))</f>
        <v/>
      </c>
      <c r="M12" s="15" t="n"/>
      <c r="N12" s="10">
        <f>IF($B12="","",IF(AND($U12="파견중",$Q12&lt;&gt;""),$Q12,IF(AND($AD12&lt;&gt;"",LEFT($AD12,1)&lt;&gt;"⚠"),LEFT($AD12,FIND(" ",$AD12)-1),IF($H12="","",IF(RIGHT($H12,2)="병원",$H12,$H12&amp;"병원")))))</f>
        <v/>
      </c>
      <c r="O12" s="10">
        <f>IF($B12="","",IF(AND($U12="파견중",$Q12&lt;&gt;""),IF($R12&lt;&gt;"",$R12,"파견과 미입력"),IF(AND($AD12&lt;&gt;"",LEFT($AD12,1)&lt;&gt;"⚠"),MID($AD12,FIND(" ",$AD12)+1,60),IF($F12="","",IF($F12="인턴","수련교육부(인턴)",$F12)))))</f>
        <v/>
      </c>
      <c r="P12" s="10">
        <f>IF($B12="","",IF($AK12&lt;&gt;"",IF(AND(TODAY()&gt;=INDEX(파견수련계획!$AB$4:$AB$83,$AK12),OR(NOT(ISNUMBER(INDEX(파견수련계획!$AC$4:$AC$83,$AK12))),TODAY()&lt;=INDEX(파견수련계획!$AC$4:$AC$83,$AK12))),"다기관",IF($AF12="","",INDEX(파견수련계획!$T$4:$T$83,$AF12))),IF($AF12="","",INDEX(파견수련계획!$T$4:$T$83,$AF12))))</f>
        <v/>
      </c>
      <c r="Q12" s="10">
        <f>IF($AF12="","",INDEX(파견수련계획!$S$4:$S$83,$AF12))</f>
        <v/>
      </c>
      <c r="R12" s="10">
        <f>IF($AF12="","",INDEX(파견수련계획!$U$4:$U$83,$AF12))</f>
        <v/>
      </c>
      <c r="S12" s="11">
        <f>IF($AF12="","",IF(INDEX(파견수련계획!$H$4:$H$83,$AF12)="","",INDEX(파견수련계획!$H$4:$H$83,$AF12)))</f>
        <v/>
      </c>
      <c r="T12" s="11">
        <f>IF($AF12="","",IF(INDEX(파견수련계획!$I$4:$I$83,$AF12)="","",INDEX(파견수련계획!$I$4:$I$83,$AF12)))</f>
        <v/>
      </c>
      <c r="U12" s="10">
        <f>IF($AF12="","",INDEX(파견수련계획!$X$4:$X$83,$AF12))</f>
        <v/>
      </c>
      <c r="V12" s="17">
        <f>IF($AF12="","",INDEX(파견수련계획!$V$4:$V$83,$AF12))</f>
        <v/>
      </c>
      <c r="W12" s="17">
        <f>IF(AND($U12="파견중",$T12&lt;&gt;""),$T12-TODAY(),"")</f>
        <v/>
      </c>
      <c r="X12" s="17">
        <f>IF(OR($B12="",TRIM($J12&amp;"")=""),"",SUMPRODUCT((파견수련계획!$Q$4:$Q$83=TRIM($J12&amp;""))*파견수련계획!$W$4:$W$83))</f>
        <v/>
      </c>
      <c r="Y12" s="10">
        <f>IF($B12="","",IF($AG12="","",IF(IF(TRIM($J12&amp;"")="",0,SUMPRODUCT((파견수련계획!$Q$4:$Q$83=TRIM($J12&amp;""))*파견수련계획!$AD$4:$AD$83))&gt;0,$AE12,IF(N($X12)&lt;=0,$AG12,IF($AH12+$AI12=DAY(EOMONTH(요약!$B$3,0)),IF(AND($AH12&gt;=요약!$E$3,$AI12&lt;요약!$E$3),"서울병원",IF(AND($AI12&gt;=요약!$E$3,$AH12&lt;요약!$E$3),"구리병원","⚠15일 판정불가(서울 "&amp;$AH12&amp;"일/구리 "&amp;$AI12&amp;"일)")),IF($AJ12="",$AE12,IF(INDEX(파견수련계획!$T$4:$T$83,$AJ12)="통합수련",INDEX(파견수련계획!$S$4:$S$83,$AJ12),$AE12)))))))</f>
        <v/>
      </c>
      <c r="Z12" s="19">
        <f>IF($B12="","",IF($AB12="","기본자료에 없는 사번",IF(COUNTIF($B$2:$B$61,$B12)&gt;1,"중복 사번",IF($AE12="","소속(입사장소) 입력",IF(IF(TRIM($J12&amp;"")="",0,SUMPRODUCT((파견수련계획!$Q$4:$Q$83=TRIM($J12&amp;""))*(파견수련계획!$AA$4:$AA$83&lt;&gt;"")))&gt;0,"파견수련계획 입력오류 확인",IF(LEFT($Y12,1)="⚠","서울·구리 15일 판정 불가(양쪽 모두 이상/미만)",IF(IF($AC12="",0,N(INDEX(인턴근무계획!$T$3:$T$62,$AC12)))&gt;0,"인턴계획 입력오류 확인",IF(AND($AC12&lt;&gt;"",$U12&lt;&gt;"파견중",$N12&lt;&gt;$AE12),"인턴 타지역 근무: 파견 여부 확인","정상"))))))))</f>
        <v/>
      </c>
      <c r="AA12" s="5" t="n"/>
      <c r="AB12" s="10">
        <f>IF($B12="","",IFERROR(MATCH($B12,기본자료!$B$2:$B$301,0),IFERROR(MATCH($B12&amp;"",기본자료!$B$2:$B$301,0),IFERROR(MATCH(VALUE($B12),기본자료!$B$2:$B$301,0),""))))</f>
        <v/>
      </c>
      <c r="AC12" s="10">
        <f>IF($B12="","",IFERROR(MATCH($B12,인턴근무계획!$D$3:$D$62,0),IFERROR(MATCH($B12&amp;"",인턴근무계획!$D$3:$D$62,0),IFERROR(MATCH(VALUE($B12),인턴근무계획!$D$3:$D$62,0),""))))</f>
        <v/>
      </c>
      <c r="AD12" s="10">
        <f>IF(OR($AC12="",인턴현황!$G$3=""),"",INDEX(인턴근무계획!$M$3:$R$62,$AC12,인턴현황!$G$3)&amp;"")</f>
        <v/>
      </c>
      <c r="AE12" s="10">
        <f>IF($B12="","",IF($M12&lt;&gt;"",$M12,IF($AF12&lt;&gt;"",IF(LEFT(INDEX(파견수련계획!$R$4:$R$83,$AF12),1)&lt;&gt;"⚠",INDEX(파견수련계획!$R$4:$R$83,$AF12),IF($H12="","",IF(RIGHT($H12,2)="병원",$H12,$H12&amp;"병원"))),IF($H12="","",IF(RIGHT($H12,2)="병원",$H12,$H12&amp;"병원")))))</f>
        <v/>
      </c>
      <c r="AF12" s="10">
        <f>IF(OR($B12="",TRIM($J12&amp;"")=""),"",IFERROR(MATCH(TRIM($J12&amp;"")&amp;"|파견중",파견수련계획!$Y$4:$Y$83,0),IFERROR(MATCH(TRIM($J12&amp;"")&amp;"|파견예정",파견수련계획!$Y$4:$Y$83,0),IFERROR(MATCH(TRIM($J12&amp;"")&amp;"|파견종료",파견수련계획!$Y$4:$Y$83,0),""))))</f>
        <v/>
      </c>
      <c r="AG12" s="10">
        <f>IF($B12="","",IF(AND(IF(OR($AC12="",인턴현황!$K$2=""),"",INDEX(인턴근무계획!$M$3:$R$62,$AC12,인턴현황!$K$2)&amp;"")&lt;&gt;"",LEFT(IF(OR($AC12="",인턴현황!$K$2=""),"",INDEX(인턴근무계획!$M$3:$R$62,$AC12,인턴현황!$K$2)&amp;""),1)&lt;&gt;"⚠"),LEFT(IF(OR($AC12="",인턴현황!$K$2=""),"",INDEX(인턴근무계획!$M$3:$R$62,$AC12,인턴현황!$K$2)&amp;""),FIND(" ",IF(OR($AC12="",인턴현황!$K$2=""),"",INDEX(인턴근무계획!$M$3:$R$62,$AC12,인턴현황!$K$2)&amp;""))-1),$AE12))</f>
        <v/>
      </c>
      <c r="AH12" s="17">
        <f>IF($B12="","",IF(TRIM($J12&amp;"")="",0,SUMPRODUCT((파견수련계획!$Q$4:$Q$83=TRIM($J12&amp;""))*(파견수련계획!$S$4:$S$83="서울병원")*파견수련계획!$W$4:$W$83))+IF($AG12="서울병원",MAX(0,DAY(EOMONTH(요약!$B$3,0))-N($X12)),0))</f>
        <v/>
      </c>
      <c r="AI12" s="17">
        <f>IF($B12="","",IF(TRIM($J12&amp;"")="",0,SUMPRODUCT((파견수련계획!$Q$4:$Q$83=TRIM($J12&amp;""))*(파견수련계획!$S$4:$S$83="구리병원")*파견수련계획!$W$4:$W$83))+IF($AG12="구리병원",MAX(0,DAY(EOMONTH(요약!$B$3,0))-N($X12)),0))</f>
        <v/>
      </c>
      <c r="AJ12" s="10">
        <f>IF(OR($B12="",TRIM($J12&amp;"")=""),"",IFERROR(MATCH(TRIM($J12&amp;"")&amp;"|월",파견수련계획!$Z$4:$Z$83,0),""))</f>
        <v/>
      </c>
      <c r="AK12" s="10">
        <f>IF(OR($B12="",TRIM($J12&amp;"")=""),"",IFERROR(MATCH(TRIM($J12&amp;"")&amp;"|다기관",파견수련계획!$AE$4:$AE$83,0),""))</f>
        <v/>
      </c>
      <c r="AL12" s="10">
        <f>IF($AK12="","","다기관 "&amp;TEXT(INDEX(파견수련계획!$AB$4:$AB$83,$AK12),"yyyy-mm-dd")&amp;"~"&amp;IF(ISNUMBER(INDEX(파견수련계획!$AC$4:$AC$83,$AK12)),TEXT(INDEX(파견수련계획!$AC$4:$AC$83,$AK12),"yyyy-mm-dd"),""))</f>
        <v/>
      </c>
    </row>
    <row r="13">
      <c r="A13" s="10">
        <f>IF(B13="","",ROW()-1)</f>
        <v/>
      </c>
      <c r="B13" s="18" t="n"/>
      <c r="C13" s="10">
        <f>IF($AB13="","",IF(INDEX(기본자료!$C$2:$C$301,$AB13)="","",INDEX(기본자료!$C$2:$C$301,$AB13)))</f>
        <v/>
      </c>
      <c r="D13" s="10">
        <f>IF($AB13="","",IF(INDEX(기본자료!$J$2:$J$301,$AB13)="","",INDEX(기본자료!$J$2:$J$301,$AB13)))</f>
        <v/>
      </c>
      <c r="E13" s="11">
        <f>IF($AB13="","",IF(INDEX(기본자료!$K$2:$K$301,$AB13)="","",IF(NOT(ISNUMBER(INDEX(기본자료!$K$2:$K$301,$AB13))),INDEX(기본자료!$K$2:$K$301,$AB13),IF(INDEX(기본자료!$K$2:$K$301,$AB13)&lt;1000000,INDEX(기본자료!$K$2:$K$301,$AB13),IF(AND(INDEX(기본자료!$K$2:$K$301,$AB13)&gt;=10000101,INT(MOD(INDEX(기본자료!$K$2:$K$301,$AB13),10000)/100)&gt;=1,INT(MOD(INDEX(기본자료!$K$2:$K$301,$AB13),10000)/100)&lt;=12,MOD(INDEX(기본자료!$K$2:$K$301,$AB13),100)&gt;=1,MOD(INDEX(기본자료!$K$2:$K$301,$AB13),100)&lt;=31),DATE(INT(INDEX(기본자료!$K$2:$K$301,$AB13)/10000),INT(MOD(INDEX(기본자료!$K$2:$K$301,$AB13),10000)/100),MOD(INDEX(기본자료!$K$2:$K$301,$AB13),100)),INDEX(기본자료!$K$2:$K$301,$AB13)&amp;"")))))</f>
        <v/>
      </c>
      <c r="F13" s="10">
        <f>IF($AB13="","",IF(INDEX(기본자료!$D$2:$D$301,$AB13)="","",INDEX(기본자료!$D$2:$D$301,$AB13)))</f>
        <v/>
      </c>
      <c r="G13" s="10">
        <f>IF($AB13="","",IF(INDEX(기본자료!$E$2:$E$301,$AB13)="","",INDEX(기본자료!$E$2:$E$301,$AB13)))</f>
        <v/>
      </c>
      <c r="H13" s="10">
        <f>IF($AB13="","",IF(INDEX(기본자료!$F$2:$F$301,$AB13)="","",INDEX(기본자료!$F$2:$F$301,$AB13)))</f>
        <v/>
      </c>
      <c r="I13" s="11">
        <f>IF($AB13="","",IF(INDEX(기본자료!$G$2:$G$301,$AB13)="","",IF(NOT(ISNUMBER(INDEX(기본자료!$G$2:$G$301,$AB13))),INDEX(기본자료!$G$2:$G$301,$AB13),IF(INDEX(기본자료!$G$2:$G$301,$AB13)&lt;1000000,INDEX(기본자료!$G$2:$G$301,$AB13),IF(AND(INDEX(기본자료!$G$2:$G$301,$AB13)&gt;=10000101,INT(MOD(INDEX(기본자료!$G$2:$G$301,$AB13),10000)/100)&gt;=1,INT(MOD(INDEX(기본자료!$G$2:$G$301,$AB13),10000)/100)&lt;=12,MOD(INDEX(기본자료!$G$2:$G$301,$AB13),100)&gt;=1,MOD(INDEX(기본자료!$G$2:$G$301,$AB13),100)&lt;=31),DATE(INT(INDEX(기본자료!$G$2:$G$301,$AB13)/10000),INT(MOD(INDEX(기본자료!$G$2:$G$301,$AB13),10000)/100),MOD(INDEX(기본자료!$G$2:$G$301,$AB13),100)),INDEX(기본자료!$G$2:$G$301,$AB13)&amp;"")))))</f>
        <v/>
      </c>
      <c r="J13" s="10">
        <f>IF($AB13="","",IF(INDEX(기본자료!$H$2:$H$301,$AB13)="","",INDEX(기본자료!$H$2:$H$301,$AB13)))</f>
        <v/>
      </c>
      <c r="K13" s="10">
        <f>IF($AB13="","",IF(INDEX(기본자료!$I$2:$I$301,$AB13)="","",INDEX(기본자료!$I$2:$I$301,$AB13)))</f>
        <v/>
      </c>
      <c r="L13" s="10">
        <f>IF($AB13="","",IF(INDEX(기본자료!$A$2:$A$301,$AB13)="","",INDEX(기본자료!$A$2:$A$301,$AB13)))</f>
        <v/>
      </c>
      <c r="M13" s="15" t="n"/>
      <c r="N13" s="10">
        <f>IF($B13="","",IF(AND($U13="파견중",$Q13&lt;&gt;""),$Q13,IF(AND($AD13&lt;&gt;"",LEFT($AD13,1)&lt;&gt;"⚠"),LEFT($AD13,FIND(" ",$AD13)-1),IF($H13="","",IF(RIGHT($H13,2)="병원",$H13,$H13&amp;"병원")))))</f>
        <v/>
      </c>
      <c r="O13" s="10">
        <f>IF($B13="","",IF(AND($U13="파견중",$Q13&lt;&gt;""),IF($R13&lt;&gt;"",$R13,"파견과 미입력"),IF(AND($AD13&lt;&gt;"",LEFT($AD13,1)&lt;&gt;"⚠"),MID($AD13,FIND(" ",$AD13)+1,60),IF($F13="","",IF($F13="인턴","수련교육부(인턴)",$F13)))))</f>
        <v/>
      </c>
      <c r="P13" s="10">
        <f>IF($B13="","",IF($AK13&lt;&gt;"",IF(AND(TODAY()&gt;=INDEX(파견수련계획!$AB$4:$AB$83,$AK13),OR(NOT(ISNUMBER(INDEX(파견수련계획!$AC$4:$AC$83,$AK13))),TODAY()&lt;=INDEX(파견수련계획!$AC$4:$AC$83,$AK13))),"다기관",IF($AF13="","",INDEX(파견수련계획!$T$4:$T$83,$AF13))),IF($AF13="","",INDEX(파견수련계획!$T$4:$T$83,$AF13))))</f>
        <v/>
      </c>
      <c r="Q13" s="10">
        <f>IF($AF13="","",INDEX(파견수련계획!$S$4:$S$83,$AF13))</f>
        <v/>
      </c>
      <c r="R13" s="10">
        <f>IF($AF13="","",INDEX(파견수련계획!$U$4:$U$83,$AF13))</f>
        <v/>
      </c>
      <c r="S13" s="11">
        <f>IF($AF13="","",IF(INDEX(파견수련계획!$H$4:$H$83,$AF13)="","",INDEX(파견수련계획!$H$4:$H$83,$AF13)))</f>
        <v/>
      </c>
      <c r="T13" s="11">
        <f>IF($AF13="","",IF(INDEX(파견수련계획!$I$4:$I$83,$AF13)="","",INDEX(파견수련계획!$I$4:$I$83,$AF13)))</f>
        <v/>
      </c>
      <c r="U13" s="10">
        <f>IF($AF13="","",INDEX(파견수련계획!$X$4:$X$83,$AF13))</f>
        <v/>
      </c>
      <c r="V13" s="17">
        <f>IF($AF13="","",INDEX(파견수련계획!$V$4:$V$83,$AF13))</f>
        <v/>
      </c>
      <c r="W13" s="17">
        <f>IF(AND($U13="파견중",$T13&lt;&gt;""),$T13-TODAY(),"")</f>
        <v/>
      </c>
      <c r="X13" s="17">
        <f>IF(OR($B13="",TRIM($J13&amp;"")=""),"",SUMPRODUCT((파견수련계획!$Q$4:$Q$83=TRIM($J13&amp;""))*파견수련계획!$W$4:$W$83))</f>
        <v/>
      </c>
      <c r="Y13" s="10">
        <f>IF($B13="","",IF($AG13="","",IF(IF(TRIM($J13&amp;"")="",0,SUMPRODUCT((파견수련계획!$Q$4:$Q$83=TRIM($J13&amp;""))*파견수련계획!$AD$4:$AD$83))&gt;0,$AE13,IF(N($X13)&lt;=0,$AG13,IF($AH13+$AI13=DAY(EOMONTH(요약!$B$3,0)),IF(AND($AH13&gt;=요약!$E$3,$AI13&lt;요약!$E$3),"서울병원",IF(AND($AI13&gt;=요약!$E$3,$AH13&lt;요약!$E$3),"구리병원","⚠15일 판정불가(서울 "&amp;$AH13&amp;"일/구리 "&amp;$AI13&amp;"일)")),IF($AJ13="",$AE13,IF(INDEX(파견수련계획!$T$4:$T$83,$AJ13)="통합수련",INDEX(파견수련계획!$S$4:$S$83,$AJ13),$AE13)))))))</f>
        <v/>
      </c>
      <c r="Z13" s="19">
        <f>IF($B13="","",IF($AB13="","기본자료에 없는 사번",IF(COUNTIF($B$2:$B$61,$B13)&gt;1,"중복 사번",IF($AE13="","소속(입사장소) 입력",IF(IF(TRIM($J13&amp;"")="",0,SUMPRODUCT((파견수련계획!$Q$4:$Q$83=TRIM($J13&amp;""))*(파견수련계획!$AA$4:$AA$83&lt;&gt;"")))&gt;0,"파견수련계획 입력오류 확인",IF(LEFT($Y13,1)="⚠","서울·구리 15일 판정 불가(양쪽 모두 이상/미만)",IF(IF($AC13="",0,N(INDEX(인턴근무계획!$T$3:$T$62,$AC13)))&gt;0,"인턴계획 입력오류 확인",IF(AND($AC13&lt;&gt;"",$U13&lt;&gt;"파견중",$N13&lt;&gt;$AE13),"인턴 타지역 근무: 파견 여부 확인","정상"))))))))</f>
        <v/>
      </c>
      <c r="AA13" s="5" t="n"/>
      <c r="AB13" s="10">
        <f>IF($B13="","",IFERROR(MATCH($B13,기본자료!$B$2:$B$301,0),IFERROR(MATCH($B13&amp;"",기본자료!$B$2:$B$301,0),IFERROR(MATCH(VALUE($B13),기본자료!$B$2:$B$301,0),""))))</f>
        <v/>
      </c>
      <c r="AC13" s="10">
        <f>IF($B13="","",IFERROR(MATCH($B13,인턴근무계획!$D$3:$D$62,0),IFERROR(MATCH($B13&amp;"",인턴근무계획!$D$3:$D$62,0),IFERROR(MATCH(VALUE($B13),인턴근무계획!$D$3:$D$62,0),""))))</f>
        <v/>
      </c>
      <c r="AD13" s="10">
        <f>IF(OR($AC13="",인턴현황!$G$3=""),"",INDEX(인턴근무계획!$M$3:$R$62,$AC13,인턴현황!$G$3)&amp;"")</f>
        <v/>
      </c>
      <c r="AE13" s="10">
        <f>IF($B13="","",IF($M13&lt;&gt;"",$M13,IF($AF13&lt;&gt;"",IF(LEFT(INDEX(파견수련계획!$R$4:$R$83,$AF13),1)&lt;&gt;"⚠",INDEX(파견수련계획!$R$4:$R$83,$AF13),IF($H13="","",IF(RIGHT($H13,2)="병원",$H13,$H13&amp;"병원"))),IF($H13="","",IF(RIGHT($H13,2)="병원",$H13,$H13&amp;"병원")))))</f>
        <v/>
      </c>
      <c r="AF13" s="10">
        <f>IF(OR($B13="",TRIM($J13&amp;"")=""),"",IFERROR(MATCH(TRIM($J13&amp;"")&amp;"|파견중",파견수련계획!$Y$4:$Y$83,0),IFERROR(MATCH(TRIM($J13&amp;"")&amp;"|파견예정",파견수련계획!$Y$4:$Y$83,0),IFERROR(MATCH(TRIM($J13&amp;"")&amp;"|파견종료",파견수련계획!$Y$4:$Y$83,0),""))))</f>
        <v/>
      </c>
      <c r="AG13" s="10">
        <f>IF($B13="","",IF(AND(IF(OR($AC13="",인턴현황!$K$2=""),"",INDEX(인턴근무계획!$M$3:$R$62,$AC13,인턴현황!$K$2)&amp;"")&lt;&gt;"",LEFT(IF(OR($AC13="",인턴현황!$K$2=""),"",INDEX(인턴근무계획!$M$3:$R$62,$AC13,인턴현황!$K$2)&amp;""),1)&lt;&gt;"⚠"),LEFT(IF(OR($AC13="",인턴현황!$K$2=""),"",INDEX(인턴근무계획!$M$3:$R$62,$AC13,인턴현황!$K$2)&amp;""),FIND(" ",IF(OR($AC13="",인턴현황!$K$2=""),"",INDEX(인턴근무계획!$M$3:$R$62,$AC13,인턴현황!$K$2)&amp;""))-1),$AE13))</f>
        <v/>
      </c>
      <c r="AH13" s="17">
        <f>IF($B13="","",IF(TRIM($J13&amp;"")="",0,SUMPRODUCT((파견수련계획!$Q$4:$Q$83=TRIM($J13&amp;""))*(파견수련계획!$S$4:$S$83="서울병원")*파견수련계획!$W$4:$W$83))+IF($AG13="서울병원",MAX(0,DAY(EOMONTH(요약!$B$3,0))-N($X13)),0))</f>
        <v/>
      </c>
      <c r="AI13" s="17">
        <f>IF($B13="","",IF(TRIM($J13&amp;"")="",0,SUMPRODUCT((파견수련계획!$Q$4:$Q$83=TRIM($J13&amp;""))*(파견수련계획!$S$4:$S$83="구리병원")*파견수련계획!$W$4:$W$83))+IF($AG13="구리병원",MAX(0,DAY(EOMONTH(요약!$B$3,0))-N($X13)),0))</f>
        <v/>
      </c>
      <c r="AJ13" s="10">
        <f>IF(OR($B13="",TRIM($J13&amp;"")=""),"",IFERROR(MATCH(TRIM($J13&amp;"")&amp;"|월",파견수련계획!$Z$4:$Z$83,0),""))</f>
        <v/>
      </c>
      <c r="AK13" s="10">
        <f>IF(OR($B13="",TRIM($J13&amp;"")=""),"",IFERROR(MATCH(TRIM($J13&amp;"")&amp;"|다기관",파견수련계획!$AE$4:$AE$83,0),""))</f>
        <v/>
      </c>
      <c r="AL13" s="10">
        <f>IF($AK13="","","다기관 "&amp;TEXT(INDEX(파견수련계획!$AB$4:$AB$83,$AK13),"yyyy-mm-dd")&amp;"~"&amp;IF(ISNUMBER(INDEX(파견수련계획!$AC$4:$AC$83,$AK13)),TEXT(INDEX(파견수련계획!$AC$4:$AC$83,$AK13),"yyyy-mm-dd"),""))</f>
        <v/>
      </c>
    </row>
    <row r="14">
      <c r="A14" s="10">
        <f>IF(B14="","",ROW()-1)</f>
        <v/>
      </c>
      <c r="B14" s="18" t="n"/>
      <c r="C14" s="10">
        <f>IF($AB14="","",IF(INDEX(기본자료!$C$2:$C$301,$AB14)="","",INDEX(기본자료!$C$2:$C$301,$AB14)))</f>
        <v/>
      </c>
      <c r="D14" s="10">
        <f>IF($AB14="","",IF(INDEX(기본자료!$J$2:$J$301,$AB14)="","",INDEX(기본자료!$J$2:$J$301,$AB14)))</f>
        <v/>
      </c>
      <c r="E14" s="11">
        <f>IF($AB14="","",IF(INDEX(기본자료!$K$2:$K$301,$AB14)="","",IF(NOT(ISNUMBER(INDEX(기본자료!$K$2:$K$301,$AB14))),INDEX(기본자료!$K$2:$K$301,$AB14),IF(INDEX(기본자료!$K$2:$K$301,$AB14)&lt;1000000,INDEX(기본자료!$K$2:$K$301,$AB14),IF(AND(INDEX(기본자료!$K$2:$K$301,$AB14)&gt;=10000101,INT(MOD(INDEX(기본자료!$K$2:$K$301,$AB14),10000)/100)&gt;=1,INT(MOD(INDEX(기본자료!$K$2:$K$301,$AB14),10000)/100)&lt;=12,MOD(INDEX(기본자료!$K$2:$K$301,$AB14),100)&gt;=1,MOD(INDEX(기본자료!$K$2:$K$301,$AB14),100)&lt;=31),DATE(INT(INDEX(기본자료!$K$2:$K$301,$AB14)/10000),INT(MOD(INDEX(기본자료!$K$2:$K$301,$AB14),10000)/100),MOD(INDEX(기본자료!$K$2:$K$301,$AB14),100)),INDEX(기본자료!$K$2:$K$301,$AB14)&amp;"")))))</f>
        <v/>
      </c>
      <c r="F14" s="10">
        <f>IF($AB14="","",IF(INDEX(기본자료!$D$2:$D$301,$AB14)="","",INDEX(기본자료!$D$2:$D$301,$AB14)))</f>
        <v/>
      </c>
      <c r="G14" s="10">
        <f>IF($AB14="","",IF(INDEX(기본자료!$E$2:$E$301,$AB14)="","",INDEX(기본자료!$E$2:$E$301,$AB14)))</f>
        <v/>
      </c>
      <c r="H14" s="10">
        <f>IF($AB14="","",IF(INDEX(기본자료!$F$2:$F$301,$AB14)="","",INDEX(기본자료!$F$2:$F$301,$AB14)))</f>
        <v/>
      </c>
      <c r="I14" s="11">
        <f>IF($AB14="","",IF(INDEX(기본자료!$G$2:$G$301,$AB14)="","",IF(NOT(ISNUMBER(INDEX(기본자료!$G$2:$G$301,$AB14))),INDEX(기본자료!$G$2:$G$301,$AB14),IF(INDEX(기본자료!$G$2:$G$301,$AB14)&lt;1000000,INDEX(기본자료!$G$2:$G$301,$AB14),IF(AND(INDEX(기본자료!$G$2:$G$301,$AB14)&gt;=10000101,INT(MOD(INDEX(기본자료!$G$2:$G$301,$AB14),10000)/100)&gt;=1,INT(MOD(INDEX(기본자료!$G$2:$G$301,$AB14),10000)/100)&lt;=12,MOD(INDEX(기본자료!$G$2:$G$301,$AB14),100)&gt;=1,MOD(INDEX(기본자료!$G$2:$G$301,$AB14),100)&lt;=31),DATE(INT(INDEX(기본자료!$G$2:$G$301,$AB14)/10000),INT(MOD(INDEX(기본자료!$G$2:$G$301,$AB14),10000)/100),MOD(INDEX(기본자료!$G$2:$G$301,$AB14),100)),INDEX(기본자료!$G$2:$G$301,$AB14)&amp;"")))))</f>
        <v/>
      </c>
      <c r="J14" s="10">
        <f>IF($AB14="","",IF(INDEX(기본자료!$H$2:$H$301,$AB14)="","",INDEX(기본자료!$H$2:$H$301,$AB14)))</f>
        <v/>
      </c>
      <c r="K14" s="10">
        <f>IF($AB14="","",IF(INDEX(기본자료!$I$2:$I$301,$AB14)="","",INDEX(기본자료!$I$2:$I$301,$AB14)))</f>
        <v/>
      </c>
      <c r="L14" s="10">
        <f>IF($AB14="","",IF(INDEX(기본자료!$A$2:$A$301,$AB14)="","",INDEX(기본자료!$A$2:$A$301,$AB14)))</f>
        <v/>
      </c>
      <c r="M14" s="15" t="n"/>
      <c r="N14" s="10">
        <f>IF($B14="","",IF(AND($U14="파견중",$Q14&lt;&gt;""),$Q14,IF(AND($AD14&lt;&gt;"",LEFT($AD14,1)&lt;&gt;"⚠"),LEFT($AD14,FIND(" ",$AD14)-1),IF($H14="","",IF(RIGHT($H14,2)="병원",$H14,$H14&amp;"병원")))))</f>
        <v/>
      </c>
      <c r="O14" s="10">
        <f>IF($B14="","",IF(AND($U14="파견중",$Q14&lt;&gt;""),IF($R14&lt;&gt;"",$R14,"파견과 미입력"),IF(AND($AD14&lt;&gt;"",LEFT($AD14,1)&lt;&gt;"⚠"),MID($AD14,FIND(" ",$AD14)+1,60),IF($F14="","",IF($F14="인턴","수련교육부(인턴)",$F14)))))</f>
        <v/>
      </c>
      <c r="P14" s="10">
        <f>IF($B14="","",IF($AK14&lt;&gt;"",IF(AND(TODAY()&gt;=INDEX(파견수련계획!$AB$4:$AB$83,$AK14),OR(NOT(ISNUMBER(INDEX(파견수련계획!$AC$4:$AC$83,$AK14))),TODAY()&lt;=INDEX(파견수련계획!$AC$4:$AC$83,$AK14))),"다기관",IF($AF14="","",INDEX(파견수련계획!$T$4:$T$83,$AF14))),IF($AF14="","",INDEX(파견수련계획!$T$4:$T$83,$AF14))))</f>
        <v/>
      </c>
      <c r="Q14" s="10">
        <f>IF($AF14="","",INDEX(파견수련계획!$S$4:$S$83,$AF14))</f>
        <v/>
      </c>
      <c r="R14" s="10">
        <f>IF($AF14="","",INDEX(파견수련계획!$U$4:$U$83,$AF14))</f>
        <v/>
      </c>
      <c r="S14" s="11">
        <f>IF($AF14="","",IF(INDEX(파견수련계획!$H$4:$H$83,$AF14)="","",INDEX(파견수련계획!$H$4:$H$83,$AF14)))</f>
        <v/>
      </c>
      <c r="T14" s="11">
        <f>IF($AF14="","",IF(INDEX(파견수련계획!$I$4:$I$83,$AF14)="","",INDEX(파견수련계획!$I$4:$I$83,$AF14)))</f>
        <v/>
      </c>
      <c r="U14" s="10">
        <f>IF($AF14="","",INDEX(파견수련계획!$X$4:$X$83,$AF14))</f>
        <v/>
      </c>
      <c r="V14" s="17">
        <f>IF($AF14="","",INDEX(파견수련계획!$V$4:$V$83,$AF14))</f>
        <v/>
      </c>
      <c r="W14" s="17">
        <f>IF(AND($U14="파견중",$T14&lt;&gt;""),$T14-TODAY(),"")</f>
        <v/>
      </c>
      <c r="X14" s="17">
        <f>IF(OR($B14="",TRIM($J14&amp;"")=""),"",SUMPRODUCT((파견수련계획!$Q$4:$Q$83=TRIM($J14&amp;""))*파견수련계획!$W$4:$W$83))</f>
        <v/>
      </c>
      <c r="Y14" s="10">
        <f>IF($B14="","",IF($AG14="","",IF(IF(TRIM($J14&amp;"")="",0,SUMPRODUCT((파견수련계획!$Q$4:$Q$83=TRIM($J14&amp;""))*파견수련계획!$AD$4:$AD$83))&gt;0,$AE14,IF(N($X14)&lt;=0,$AG14,IF($AH14+$AI14=DAY(EOMONTH(요약!$B$3,0)),IF(AND($AH14&gt;=요약!$E$3,$AI14&lt;요약!$E$3),"서울병원",IF(AND($AI14&gt;=요약!$E$3,$AH14&lt;요약!$E$3),"구리병원","⚠15일 판정불가(서울 "&amp;$AH14&amp;"일/구리 "&amp;$AI14&amp;"일)")),IF($AJ14="",$AE14,IF(INDEX(파견수련계획!$T$4:$T$83,$AJ14)="통합수련",INDEX(파견수련계획!$S$4:$S$83,$AJ14),$AE14)))))))</f>
        <v/>
      </c>
      <c r="Z14" s="19">
        <f>IF($B14="","",IF($AB14="","기본자료에 없는 사번",IF(COUNTIF($B$2:$B$61,$B14)&gt;1,"중복 사번",IF($AE14="","소속(입사장소) 입력",IF(IF(TRIM($J14&amp;"")="",0,SUMPRODUCT((파견수련계획!$Q$4:$Q$83=TRIM($J14&amp;""))*(파견수련계획!$AA$4:$AA$83&lt;&gt;"")))&gt;0,"파견수련계획 입력오류 확인",IF(LEFT($Y14,1)="⚠","서울·구리 15일 판정 불가(양쪽 모두 이상/미만)",IF(IF($AC14="",0,N(INDEX(인턴근무계획!$T$3:$T$62,$AC14)))&gt;0,"인턴계획 입력오류 확인",IF(AND($AC14&lt;&gt;"",$U14&lt;&gt;"파견중",$N14&lt;&gt;$AE14),"인턴 타지역 근무: 파견 여부 확인","정상"))))))))</f>
        <v/>
      </c>
      <c r="AA14" s="5" t="n"/>
      <c r="AB14" s="10">
        <f>IF($B14="","",IFERROR(MATCH($B14,기본자료!$B$2:$B$301,0),IFERROR(MATCH($B14&amp;"",기본자료!$B$2:$B$301,0),IFERROR(MATCH(VALUE($B14),기본자료!$B$2:$B$301,0),""))))</f>
        <v/>
      </c>
      <c r="AC14" s="10">
        <f>IF($B14="","",IFERROR(MATCH($B14,인턴근무계획!$D$3:$D$62,0),IFERROR(MATCH($B14&amp;"",인턴근무계획!$D$3:$D$62,0),IFERROR(MATCH(VALUE($B14),인턴근무계획!$D$3:$D$62,0),""))))</f>
        <v/>
      </c>
      <c r="AD14" s="10">
        <f>IF(OR($AC14="",인턴현황!$G$3=""),"",INDEX(인턴근무계획!$M$3:$R$62,$AC14,인턴현황!$G$3)&amp;"")</f>
        <v/>
      </c>
      <c r="AE14" s="10">
        <f>IF($B14="","",IF($M14&lt;&gt;"",$M14,IF($AF14&lt;&gt;"",IF(LEFT(INDEX(파견수련계획!$R$4:$R$83,$AF14),1)&lt;&gt;"⚠",INDEX(파견수련계획!$R$4:$R$83,$AF14),IF($H14="","",IF(RIGHT($H14,2)="병원",$H14,$H14&amp;"병원"))),IF($H14="","",IF(RIGHT($H14,2)="병원",$H14,$H14&amp;"병원")))))</f>
        <v/>
      </c>
      <c r="AF14" s="10">
        <f>IF(OR($B14="",TRIM($J14&amp;"")=""),"",IFERROR(MATCH(TRIM($J14&amp;"")&amp;"|파견중",파견수련계획!$Y$4:$Y$83,0),IFERROR(MATCH(TRIM($J14&amp;"")&amp;"|파견예정",파견수련계획!$Y$4:$Y$83,0),IFERROR(MATCH(TRIM($J14&amp;"")&amp;"|파견종료",파견수련계획!$Y$4:$Y$83,0),""))))</f>
        <v/>
      </c>
      <c r="AG14" s="10">
        <f>IF($B14="","",IF(AND(IF(OR($AC14="",인턴현황!$K$2=""),"",INDEX(인턴근무계획!$M$3:$R$62,$AC14,인턴현황!$K$2)&amp;"")&lt;&gt;"",LEFT(IF(OR($AC14="",인턴현황!$K$2=""),"",INDEX(인턴근무계획!$M$3:$R$62,$AC14,인턴현황!$K$2)&amp;""),1)&lt;&gt;"⚠"),LEFT(IF(OR($AC14="",인턴현황!$K$2=""),"",INDEX(인턴근무계획!$M$3:$R$62,$AC14,인턴현황!$K$2)&amp;""),FIND(" ",IF(OR($AC14="",인턴현황!$K$2=""),"",INDEX(인턴근무계획!$M$3:$R$62,$AC14,인턴현황!$K$2)&amp;""))-1),$AE14))</f>
        <v/>
      </c>
      <c r="AH14" s="17">
        <f>IF($B14="","",IF(TRIM($J14&amp;"")="",0,SUMPRODUCT((파견수련계획!$Q$4:$Q$83=TRIM($J14&amp;""))*(파견수련계획!$S$4:$S$83="서울병원")*파견수련계획!$W$4:$W$83))+IF($AG14="서울병원",MAX(0,DAY(EOMONTH(요약!$B$3,0))-N($X14)),0))</f>
        <v/>
      </c>
      <c r="AI14" s="17">
        <f>IF($B14="","",IF(TRIM($J14&amp;"")="",0,SUMPRODUCT((파견수련계획!$Q$4:$Q$83=TRIM($J14&amp;""))*(파견수련계획!$S$4:$S$83="구리병원")*파견수련계획!$W$4:$W$83))+IF($AG14="구리병원",MAX(0,DAY(EOMONTH(요약!$B$3,0))-N($X14)),0))</f>
        <v/>
      </c>
      <c r="AJ14" s="10">
        <f>IF(OR($B14="",TRIM($J14&amp;"")=""),"",IFERROR(MATCH(TRIM($J14&amp;"")&amp;"|월",파견수련계획!$Z$4:$Z$83,0),""))</f>
        <v/>
      </c>
      <c r="AK14" s="10">
        <f>IF(OR($B14="",TRIM($J14&amp;"")=""),"",IFERROR(MATCH(TRIM($J14&amp;"")&amp;"|다기관",파견수련계획!$AE$4:$AE$83,0),""))</f>
        <v/>
      </c>
      <c r="AL14" s="10">
        <f>IF($AK14="","","다기관 "&amp;TEXT(INDEX(파견수련계획!$AB$4:$AB$83,$AK14),"yyyy-mm-dd")&amp;"~"&amp;IF(ISNUMBER(INDEX(파견수련계획!$AC$4:$AC$83,$AK14)),TEXT(INDEX(파견수련계획!$AC$4:$AC$83,$AK14),"yyyy-mm-dd"),""))</f>
        <v/>
      </c>
    </row>
    <row r="15">
      <c r="A15" s="10">
        <f>IF(B15="","",ROW()-1)</f>
        <v/>
      </c>
      <c r="B15" s="18" t="n"/>
      <c r="C15" s="10">
        <f>IF($AB15="","",IF(INDEX(기본자료!$C$2:$C$301,$AB15)="","",INDEX(기본자료!$C$2:$C$301,$AB15)))</f>
        <v/>
      </c>
      <c r="D15" s="10">
        <f>IF($AB15="","",IF(INDEX(기본자료!$J$2:$J$301,$AB15)="","",INDEX(기본자료!$J$2:$J$301,$AB15)))</f>
        <v/>
      </c>
      <c r="E15" s="11">
        <f>IF($AB15="","",IF(INDEX(기본자료!$K$2:$K$301,$AB15)="","",IF(NOT(ISNUMBER(INDEX(기본자료!$K$2:$K$301,$AB15))),INDEX(기본자료!$K$2:$K$301,$AB15),IF(INDEX(기본자료!$K$2:$K$301,$AB15)&lt;1000000,INDEX(기본자료!$K$2:$K$301,$AB15),IF(AND(INDEX(기본자료!$K$2:$K$301,$AB15)&gt;=10000101,INT(MOD(INDEX(기본자료!$K$2:$K$301,$AB15),10000)/100)&gt;=1,INT(MOD(INDEX(기본자료!$K$2:$K$301,$AB15),10000)/100)&lt;=12,MOD(INDEX(기본자료!$K$2:$K$301,$AB15),100)&gt;=1,MOD(INDEX(기본자료!$K$2:$K$301,$AB15),100)&lt;=31),DATE(INT(INDEX(기본자료!$K$2:$K$301,$AB15)/10000),INT(MOD(INDEX(기본자료!$K$2:$K$301,$AB15),10000)/100),MOD(INDEX(기본자료!$K$2:$K$301,$AB15),100)),INDEX(기본자료!$K$2:$K$301,$AB15)&amp;"")))))</f>
        <v/>
      </c>
      <c r="F15" s="10">
        <f>IF($AB15="","",IF(INDEX(기본자료!$D$2:$D$301,$AB15)="","",INDEX(기본자료!$D$2:$D$301,$AB15)))</f>
        <v/>
      </c>
      <c r="G15" s="10">
        <f>IF($AB15="","",IF(INDEX(기본자료!$E$2:$E$301,$AB15)="","",INDEX(기본자료!$E$2:$E$301,$AB15)))</f>
        <v/>
      </c>
      <c r="H15" s="10">
        <f>IF($AB15="","",IF(INDEX(기본자료!$F$2:$F$301,$AB15)="","",INDEX(기본자료!$F$2:$F$301,$AB15)))</f>
        <v/>
      </c>
      <c r="I15" s="11">
        <f>IF($AB15="","",IF(INDEX(기본자료!$G$2:$G$301,$AB15)="","",IF(NOT(ISNUMBER(INDEX(기본자료!$G$2:$G$301,$AB15))),INDEX(기본자료!$G$2:$G$301,$AB15),IF(INDEX(기본자료!$G$2:$G$301,$AB15)&lt;1000000,INDEX(기본자료!$G$2:$G$301,$AB15),IF(AND(INDEX(기본자료!$G$2:$G$301,$AB15)&gt;=10000101,INT(MOD(INDEX(기본자료!$G$2:$G$301,$AB15),10000)/100)&gt;=1,INT(MOD(INDEX(기본자료!$G$2:$G$301,$AB15),10000)/100)&lt;=12,MOD(INDEX(기본자료!$G$2:$G$301,$AB15),100)&gt;=1,MOD(INDEX(기본자료!$G$2:$G$301,$AB15),100)&lt;=31),DATE(INT(INDEX(기본자료!$G$2:$G$301,$AB15)/10000),INT(MOD(INDEX(기본자료!$G$2:$G$301,$AB15),10000)/100),MOD(INDEX(기본자료!$G$2:$G$301,$AB15),100)),INDEX(기본자료!$G$2:$G$301,$AB15)&amp;"")))))</f>
        <v/>
      </c>
      <c r="J15" s="10">
        <f>IF($AB15="","",IF(INDEX(기본자료!$H$2:$H$301,$AB15)="","",INDEX(기본자료!$H$2:$H$301,$AB15)))</f>
        <v/>
      </c>
      <c r="K15" s="10">
        <f>IF($AB15="","",IF(INDEX(기본자료!$I$2:$I$301,$AB15)="","",INDEX(기본자료!$I$2:$I$301,$AB15)))</f>
        <v/>
      </c>
      <c r="L15" s="10">
        <f>IF($AB15="","",IF(INDEX(기본자료!$A$2:$A$301,$AB15)="","",INDEX(기본자료!$A$2:$A$301,$AB15)))</f>
        <v/>
      </c>
      <c r="M15" s="15" t="n"/>
      <c r="N15" s="10">
        <f>IF($B15="","",IF(AND($U15="파견중",$Q15&lt;&gt;""),$Q15,IF(AND($AD15&lt;&gt;"",LEFT($AD15,1)&lt;&gt;"⚠"),LEFT($AD15,FIND(" ",$AD15)-1),IF($H15="","",IF(RIGHT($H15,2)="병원",$H15,$H15&amp;"병원")))))</f>
        <v/>
      </c>
      <c r="O15" s="10">
        <f>IF($B15="","",IF(AND($U15="파견중",$Q15&lt;&gt;""),IF($R15&lt;&gt;"",$R15,"파견과 미입력"),IF(AND($AD15&lt;&gt;"",LEFT($AD15,1)&lt;&gt;"⚠"),MID($AD15,FIND(" ",$AD15)+1,60),IF($F15="","",IF($F15="인턴","수련교육부(인턴)",$F15)))))</f>
        <v/>
      </c>
      <c r="P15" s="10">
        <f>IF($B15="","",IF($AK15&lt;&gt;"",IF(AND(TODAY()&gt;=INDEX(파견수련계획!$AB$4:$AB$83,$AK15),OR(NOT(ISNUMBER(INDEX(파견수련계획!$AC$4:$AC$83,$AK15))),TODAY()&lt;=INDEX(파견수련계획!$AC$4:$AC$83,$AK15))),"다기관",IF($AF15="","",INDEX(파견수련계획!$T$4:$T$83,$AF15))),IF($AF15="","",INDEX(파견수련계획!$T$4:$T$83,$AF15))))</f>
        <v/>
      </c>
      <c r="Q15" s="10">
        <f>IF($AF15="","",INDEX(파견수련계획!$S$4:$S$83,$AF15))</f>
        <v/>
      </c>
      <c r="R15" s="10">
        <f>IF($AF15="","",INDEX(파견수련계획!$U$4:$U$83,$AF15))</f>
        <v/>
      </c>
      <c r="S15" s="11">
        <f>IF($AF15="","",IF(INDEX(파견수련계획!$H$4:$H$83,$AF15)="","",INDEX(파견수련계획!$H$4:$H$83,$AF15)))</f>
        <v/>
      </c>
      <c r="T15" s="11">
        <f>IF($AF15="","",IF(INDEX(파견수련계획!$I$4:$I$83,$AF15)="","",INDEX(파견수련계획!$I$4:$I$83,$AF15)))</f>
        <v/>
      </c>
      <c r="U15" s="10">
        <f>IF($AF15="","",INDEX(파견수련계획!$X$4:$X$83,$AF15))</f>
        <v/>
      </c>
      <c r="V15" s="17">
        <f>IF($AF15="","",INDEX(파견수련계획!$V$4:$V$83,$AF15))</f>
        <v/>
      </c>
      <c r="W15" s="17">
        <f>IF(AND($U15="파견중",$T15&lt;&gt;""),$T15-TODAY(),"")</f>
        <v/>
      </c>
      <c r="X15" s="17">
        <f>IF(OR($B15="",TRIM($J15&amp;"")=""),"",SUMPRODUCT((파견수련계획!$Q$4:$Q$83=TRIM($J15&amp;""))*파견수련계획!$W$4:$W$83))</f>
        <v/>
      </c>
      <c r="Y15" s="10">
        <f>IF($B15="","",IF($AG15="","",IF(IF(TRIM($J15&amp;"")="",0,SUMPRODUCT((파견수련계획!$Q$4:$Q$83=TRIM($J15&amp;""))*파견수련계획!$AD$4:$AD$83))&gt;0,$AE15,IF(N($X15)&lt;=0,$AG15,IF($AH15+$AI15=DAY(EOMONTH(요약!$B$3,0)),IF(AND($AH15&gt;=요약!$E$3,$AI15&lt;요약!$E$3),"서울병원",IF(AND($AI15&gt;=요약!$E$3,$AH15&lt;요약!$E$3),"구리병원","⚠15일 판정불가(서울 "&amp;$AH15&amp;"일/구리 "&amp;$AI15&amp;"일)")),IF($AJ15="",$AE15,IF(INDEX(파견수련계획!$T$4:$T$83,$AJ15)="통합수련",INDEX(파견수련계획!$S$4:$S$83,$AJ15),$AE15)))))))</f>
        <v/>
      </c>
      <c r="Z15" s="19">
        <f>IF($B15="","",IF($AB15="","기본자료에 없는 사번",IF(COUNTIF($B$2:$B$61,$B15)&gt;1,"중복 사번",IF($AE15="","소속(입사장소) 입력",IF(IF(TRIM($J15&amp;"")="",0,SUMPRODUCT((파견수련계획!$Q$4:$Q$83=TRIM($J15&amp;""))*(파견수련계획!$AA$4:$AA$83&lt;&gt;"")))&gt;0,"파견수련계획 입력오류 확인",IF(LEFT($Y15,1)="⚠","서울·구리 15일 판정 불가(양쪽 모두 이상/미만)",IF(IF($AC15="",0,N(INDEX(인턴근무계획!$T$3:$T$62,$AC15)))&gt;0,"인턴계획 입력오류 확인",IF(AND($AC15&lt;&gt;"",$U15&lt;&gt;"파견중",$N15&lt;&gt;$AE15),"인턴 타지역 근무: 파견 여부 확인","정상"))))))))</f>
        <v/>
      </c>
      <c r="AA15" s="5" t="n"/>
      <c r="AB15" s="10">
        <f>IF($B15="","",IFERROR(MATCH($B15,기본자료!$B$2:$B$301,0),IFERROR(MATCH($B15&amp;"",기본자료!$B$2:$B$301,0),IFERROR(MATCH(VALUE($B15),기본자료!$B$2:$B$301,0),""))))</f>
        <v/>
      </c>
      <c r="AC15" s="10">
        <f>IF($B15="","",IFERROR(MATCH($B15,인턴근무계획!$D$3:$D$62,0),IFERROR(MATCH($B15&amp;"",인턴근무계획!$D$3:$D$62,0),IFERROR(MATCH(VALUE($B15),인턴근무계획!$D$3:$D$62,0),""))))</f>
        <v/>
      </c>
      <c r="AD15" s="10">
        <f>IF(OR($AC15="",인턴현황!$G$3=""),"",INDEX(인턴근무계획!$M$3:$R$62,$AC15,인턴현황!$G$3)&amp;"")</f>
        <v/>
      </c>
      <c r="AE15" s="10">
        <f>IF($B15="","",IF($M15&lt;&gt;"",$M15,IF($AF15&lt;&gt;"",IF(LEFT(INDEX(파견수련계획!$R$4:$R$83,$AF15),1)&lt;&gt;"⚠",INDEX(파견수련계획!$R$4:$R$83,$AF15),IF($H15="","",IF(RIGHT($H15,2)="병원",$H15,$H15&amp;"병원"))),IF($H15="","",IF(RIGHT($H15,2)="병원",$H15,$H15&amp;"병원")))))</f>
        <v/>
      </c>
      <c r="AF15" s="10">
        <f>IF(OR($B15="",TRIM($J15&amp;"")=""),"",IFERROR(MATCH(TRIM($J15&amp;"")&amp;"|파견중",파견수련계획!$Y$4:$Y$83,0),IFERROR(MATCH(TRIM($J15&amp;"")&amp;"|파견예정",파견수련계획!$Y$4:$Y$83,0),IFERROR(MATCH(TRIM($J15&amp;"")&amp;"|파견종료",파견수련계획!$Y$4:$Y$83,0),""))))</f>
        <v/>
      </c>
      <c r="AG15" s="10">
        <f>IF($B15="","",IF(AND(IF(OR($AC15="",인턴현황!$K$2=""),"",INDEX(인턴근무계획!$M$3:$R$62,$AC15,인턴현황!$K$2)&amp;"")&lt;&gt;"",LEFT(IF(OR($AC15="",인턴현황!$K$2=""),"",INDEX(인턴근무계획!$M$3:$R$62,$AC15,인턴현황!$K$2)&amp;""),1)&lt;&gt;"⚠"),LEFT(IF(OR($AC15="",인턴현황!$K$2=""),"",INDEX(인턴근무계획!$M$3:$R$62,$AC15,인턴현황!$K$2)&amp;""),FIND(" ",IF(OR($AC15="",인턴현황!$K$2=""),"",INDEX(인턴근무계획!$M$3:$R$62,$AC15,인턴현황!$K$2)&amp;""))-1),$AE15))</f>
        <v/>
      </c>
      <c r="AH15" s="17">
        <f>IF($B15="","",IF(TRIM($J15&amp;"")="",0,SUMPRODUCT((파견수련계획!$Q$4:$Q$83=TRIM($J15&amp;""))*(파견수련계획!$S$4:$S$83="서울병원")*파견수련계획!$W$4:$W$83))+IF($AG15="서울병원",MAX(0,DAY(EOMONTH(요약!$B$3,0))-N($X15)),0))</f>
        <v/>
      </c>
      <c r="AI15" s="17">
        <f>IF($B15="","",IF(TRIM($J15&amp;"")="",0,SUMPRODUCT((파견수련계획!$Q$4:$Q$83=TRIM($J15&amp;""))*(파견수련계획!$S$4:$S$83="구리병원")*파견수련계획!$W$4:$W$83))+IF($AG15="구리병원",MAX(0,DAY(EOMONTH(요약!$B$3,0))-N($X15)),0))</f>
        <v/>
      </c>
      <c r="AJ15" s="10">
        <f>IF(OR($B15="",TRIM($J15&amp;"")=""),"",IFERROR(MATCH(TRIM($J15&amp;"")&amp;"|월",파견수련계획!$Z$4:$Z$83,0),""))</f>
        <v/>
      </c>
      <c r="AK15" s="10">
        <f>IF(OR($B15="",TRIM($J15&amp;"")=""),"",IFERROR(MATCH(TRIM($J15&amp;"")&amp;"|다기관",파견수련계획!$AE$4:$AE$83,0),""))</f>
        <v/>
      </c>
      <c r="AL15" s="10">
        <f>IF($AK15="","","다기관 "&amp;TEXT(INDEX(파견수련계획!$AB$4:$AB$83,$AK15),"yyyy-mm-dd")&amp;"~"&amp;IF(ISNUMBER(INDEX(파견수련계획!$AC$4:$AC$83,$AK15)),TEXT(INDEX(파견수련계획!$AC$4:$AC$83,$AK15),"yyyy-mm-dd"),""))</f>
        <v/>
      </c>
    </row>
    <row r="16">
      <c r="A16" s="10">
        <f>IF(B16="","",ROW()-1)</f>
        <v/>
      </c>
      <c r="B16" s="18" t="n"/>
      <c r="C16" s="10">
        <f>IF($AB16="","",IF(INDEX(기본자료!$C$2:$C$301,$AB16)="","",INDEX(기본자료!$C$2:$C$301,$AB16)))</f>
        <v/>
      </c>
      <c r="D16" s="10">
        <f>IF($AB16="","",IF(INDEX(기본자료!$J$2:$J$301,$AB16)="","",INDEX(기본자료!$J$2:$J$301,$AB16)))</f>
        <v/>
      </c>
      <c r="E16" s="11">
        <f>IF($AB16="","",IF(INDEX(기본자료!$K$2:$K$301,$AB16)="","",IF(NOT(ISNUMBER(INDEX(기본자료!$K$2:$K$301,$AB16))),INDEX(기본자료!$K$2:$K$301,$AB16),IF(INDEX(기본자료!$K$2:$K$301,$AB16)&lt;1000000,INDEX(기본자료!$K$2:$K$301,$AB16),IF(AND(INDEX(기본자료!$K$2:$K$301,$AB16)&gt;=10000101,INT(MOD(INDEX(기본자료!$K$2:$K$301,$AB16),10000)/100)&gt;=1,INT(MOD(INDEX(기본자료!$K$2:$K$301,$AB16),10000)/100)&lt;=12,MOD(INDEX(기본자료!$K$2:$K$301,$AB16),100)&gt;=1,MOD(INDEX(기본자료!$K$2:$K$301,$AB16),100)&lt;=31),DATE(INT(INDEX(기본자료!$K$2:$K$301,$AB16)/10000),INT(MOD(INDEX(기본자료!$K$2:$K$301,$AB16),10000)/100),MOD(INDEX(기본자료!$K$2:$K$301,$AB16),100)),INDEX(기본자료!$K$2:$K$301,$AB16)&amp;"")))))</f>
        <v/>
      </c>
      <c r="F16" s="10">
        <f>IF($AB16="","",IF(INDEX(기본자료!$D$2:$D$301,$AB16)="","",INDEX(기본자료!$D$2:$D$301,$AB16)))</f>
        <v/>
      </c>
      <c r="G16" s="10">
        <f>IF($AB16="","",IF(INDEX(기본자료!$E$2:$E$301,$AB16)="","",INDEX(기본자료!$E$2:$E$301,$AB16)))</f>
        <v/>
      </c>
      <c r="H16" s="10">
        <f>IF($AB16="","",IF(INDEX(기본자료!$F$2:$F$301,$AB16)="","",INDEX(기본자료!$F$2:$F$301,$AB16)))</f>
        <v/>
      </c>
      <c r="I16" s="11">
        <f>IF($AB16="","",IF(INDEX(기본자료!$G$2:$G$301,$AB16)="","",IF(NOT(ISNUMBER(INDEX(기본자료!$G$2:$G$301,$AB16))),INDEX(기본자료!$G$2:$G$301,$AB16),IF(INDEX(기본자료!$G$2:$G$301,$AB16)&lt;1000000,INDEX(기본자료!$G$2:$G$301,$AB16),IF(AND(INDEX(기본자료!$G$2:$G$301,$AB16)&gt;=10000101,INT(MOD(INDEX(기본자료!$G$2:$G$301,$AB16),10000)/100)&gt;=1,INT(MOD(INDEX(기본자료!$G$2:$G$301,$AB16),10000)/100)&lt;=12,MOD(INDEX(기본자료!$G$2:$G$301,$AB16),100)&gt;=1,MOD(INDEX(기본자료!$G$2:$G$301,$AB16),100)&lt;=31),DATE(INT(INDEX(기본자료!$G$2:$G$301,$AB16)/10000),INT(MOD(INDEX(기본자료!$G$2:$G$301,$AB16),10000)/100),MOD(INDEX(기본자료!$G$2:$G$301,$AB16),100)),INDEX(기본자료!$G$2:$G$301,$AB16)&amp;"")))))</f>
        <v/>
      </c>
      <c r="J16" s="10">
        <f>IF($AB16="","",IF(INDEX(기본자료!$H$2:$H$301,$AB16)="","",INDEX(기본자료!$H$2:$H$301,$AB16)))</f>
        <v/>
      </c>
      <c r="K16" s="10">
        <f>IF($AB16="","",IF(INDEX(기본자료!$I$2:$I$301,$AB16)="","",INDEX(기본자료!$I$2:$I$301,$AB16)))</f>
        <v/>
      </c>
      <c r="L16" s="10">
        <f>IF($AB16="","",IF(INDEX(기본자료!$A$2:$A$301,$AB16)="","",INDEX(기본자료!$A$2:$A$301,$AB16)))</f>
        <v/>
      </c>
      <c r="M16" s="15" t="n"/>
      <c r="N16" s="10">
        <f>IF($B16="","",IF(AND($U16="파견중",$Q16&lt;&gt;""),$Q16,IF(AND($AD16&lt;&gt;"",LEFT($AD16,1)&lt;&gt;"⚠"),LEFT($AD16,FIND(" ",$AD16)-1),IF($H16="","",IF(RIGHT($H16,2)="병원",$H16,$H16&amp;"병원")))))</f>
        <v/>
      </c>
      <c r="O16" s="10">
        <f>IF($B16="","",IF(AND($U16="파견중",$Q16&lt;&gt;""),IF($R16&lt;&gt;"",$R16,"파견과 미입력"),IF(AND($AD16&lt;&gt;"",LEFT($AD16,1)&lt;&gt;"⚠"),MID($AD16,FIND(" ",$AD16)+1,60),IF($F16="","",IF($F16="인턴","수련교육부(인턴)",$F16)))))</f>
        <v/>
      </c>
      <c r="P16" s="10">
        <f>IF($B16="","",IF($AK16&lt;&gt;"",IF(AND(TODAY()&gt;=INDEX(파견수련계획!$AB$4:$AB$83,$AK16),OR(NOT(ISNUMBER(INDEX(파견수련계획!$AC$4:$AC$83,$AK16))),TODAY()&lt;=INDEX(파견수련계획!$AC$4:$AC$83,$AK16))),"다기관",IF($AF16="","",INDEX(파견수련계획!$T$4:$T$83,$AF16))),IF($AF16="","",INDEX(파견수련계획!$T$4:$T$83,$AF16))))</f>
        <v/>
      </c>
      <c r="Q16" s="10">
        <f>IF($AF16="","",INDEX(파견수련계획!$S$4:$S$83,$AF16))</f>
        <v/>
      </c>
      <c r="R16" s="10">
        <f>IF($AF16="","",INDEX(파견수련계획!$U$4:$U$83,$AF16))</f>
        <v/>
      </c>
      <c r="S16" s="11">
        <f>IF($AF16="","",IF(INDEX(파견수련계획!$H$4:$H$83,$AF16)="","",INDEX(파견수련계획!$H$4:$H$83,$AF16)))</f>
        <v/>
      </c>
      <c r="T16" s="11">
        <f>IF($AF16="","",IF(INDEX(파견수련계획!$I$4:$I$83,$AF16)="","",INDEX(파견수련계획!$I$4:$I$83,$AF16)))</f>
        <v/>
      </c>
      <c r="U16" s="10">
        <f>IF($AF16="","",INDEX(파견수련계획!$X$4:$X$83,$AF16))</f>
        <v/>
      </c>
      <c r="V16" s="17">
        <f>IF($AF16="","",INDEX(파견수련계획!$V$4:$V$83,$AF16))</f>
        <v/>
      </c>
      <c r="W16" s="17">
        <f>IF(AND($U16="파견중",$T16&lt;&gt;""),$T16-TODAY(),"")</f>
        <v/>
      </c>
      <c r="X16" s="17">
        <f>IF(OR($B16="",TRIM($J16&amp;"")=""),"",SUMPRODUCT((파견수련계획!$Q$4:$Q$83=TRIM($J16&amp;""))*파견수련계획!$W$4:$W$83))</f>
        <v/>
      </c>
      <c r="Y16" s="10">
        <f>IF($B16="","",IF($AG16="","",IF(IF(TRIM($J16&amp;"")="",0,SUMPRODUCT((파견수련계획!$Q$4:$Q$83=TRIM($J16&amp;""))*파견수련계획!$AD$4:$AD$83))&gt;0,$AE16,IF(N($X16)&lt;=0,$AG16,IF($AH16+$AI16=DAY(EOMONTH(요약!$B$3,0)),IF(AND($AH16&gt;=요약!$E$3,$AI16&lt;요약!$E$3),"서울병원",IF(AND($AI16&gt;=요약!$E$3,$AH16&lt;요약!$E$3),"구리병원","⚠15일 판정불가(서울 "&amp;$AH16&amp;"일/구리 "&amp;$AI16&amp;"일)")),IF($AJ16="",$AE16,IF(INDEX(파견수련계획!$T$4:$T$83,$AJ16)="통합수련",INDEX(파견수련계획!$S$4:$S$83,$AJ16),$AE16)))))))</f>
        <v/>
      </c>
      <c r="Z16" s="19">
        <f>IF($B16="","",IF($AB16="","기본자료에 없는 사번",IF(COUNTIF($B$2:$B$61,$B16)&gt;1,"중복 사번",IF($AE16="","소속(입사장소) 입력",IF(IF(TRIM($J16&amp;"")="",0,SUMPRODUCT((파견수련계획!$Q$4:$Q$83=TRIM($J16&amp;""))*(파견수련계획!$AA$4:$AA$83&lt;&gt;"")))&gt;0,"파견수련계획 입력오류 확인",IF(LEFT($Y16,1)="⚠","서울·구리 15일 판정 불가(양쪽 모두 이상/미만)",IF(IF($AC16="",0,N(INDEX(인턴근무계획!$T$3:$T$62,$AC16)))&gt;0,"인턴계획 입력오류 확인",IF(AND($AC16&lt;&gt;"",$U16&lt;&gt;"파견중",$N16&lt;&gt;$AE16),"인턴 타지역 근무: 파견 여부 확인","정상"))))))))</f>
        <v/>
      </c>
      <c r="AA16" s="5" t="n"/>
      <c r="AB16" s="10">
        <f>IF($B16="","",IFERROR(MATCH($B16,기본자료!$B$2:$B$301,0),IFERROR(MATCH($B16&amp;"",기본자료!$B$2:$B$301,0),IFERROR(MATCH(VALUE($B16),기본자료!$B$2:$B$301,0),""))))</f>
        <v/>
      </c>
      <c r="AC16" s="10">
        <f>IF($B16="","",IFERROR(MATCH($B16,인턴근무계획!$D$3:$D$62,0),IFERROR(MATCH($B16&amp;"",인턴근무계획!$D$3:$D$62,0),IFERROR(MATCH(VALUE($B16),인턴근무계획!$D$3:$D$62,0),""))))</f>
        <v/>
      </c>
      <c r="AD16" s="10">
        <f>IF(OR($AC16="",인턴현황!$G$3=""),"",INDEX(인턴근무계획!$M$3:$R$62,$AC16,인턴현황!$G$3)&amp;"")</f>
        <v/>
      </c>
      <c r="AE16" s="10">
        <f>IF($B16="","",IF($M16&lt;&gt;"",$M16,IF($AF16&lt;&gt;"",IF(LEFT(INDEX(파견수련계획!$R$4:$R$83,$AF16),1)&lt;&gt;"⚠",INDEX(파견수련계획!$R$4:$R$83,$AF16),IF($H16="","",IF(RIGHT($H16,2)="병원",$H16,$H16&amp;"병원"))),IF($H16="","",IF(RIGHT($H16,2)="병원",$H16,$H16&amp;"병원")))))</f>
        <v/>
      </c>
      <c r="AF16" s="10">
        <f>IF(OR($B16="",TRIM($J16&amp;"")=""),"",IFERROR(MATCH(TRIM($J16&amp;"")&amp;"|파견중",파견수련계획!$Y$4:$Y$83,0),IFERROR(MATCH(TRIM($J16&amp;"")&amp;"|파견예정",파견수련계획!$Y$4:$Y$83,0),IFERROR(MATCH(TRIM($J16&amp;"")&amp;"|파견종료",파견수련계획!$Y$4:$Y$83,0),""))))</f>
        <v/>
      </c>
      <c r="AG16" s="10">
        <f>IF($B16="","",IF(AND(IF(OR($AC16="",인턴현황!$K$2=""),"",INDEX(인턴근무계획!$M$3:$R$62,$AC16,인턴현황!$K$2)&amp;"")&lt;&gt;"",LEFT(IF(OR($AC16="",인턴현황!$K$2=""),"",INDEX(인턴근무계획!$M$3:$R$62,$AC16,인턴현황!$K$2)&amp;""),1)&lt;&gt;"⚠"),LEFT(IF(OR($AC16="",인턴현황!$K$2=""),"",INDEX(인턴근무계획!$M$3:$R$62,$AC16,인턴현황!$K$2)&amp;""),FIND(" ",IF(OR($AC16="",인턴현황!$K$2=""),"",INDEX(인턴근무계획!$M$3:$R$62,$AC16,인턴현황!$K$2)&amp;""))-1),$AE16))</f>
        <v/>
      </c>
      <c r="AH16" s="17">
        <f>IF($B16="","",IF(TRIM($J16&amp;"")="",0,SUMPRODUCT((파견수련계획!$Q$4:$Q$83=TRIM($J16&amp;""))*(파견수련계획!$S$4:$S$83="서울병원")*파견수련계획!$W$4:$W$83))+IF($AG16="서울병원",MAX(0,DAY(EOMONTH(요약!$B$3,0))-N($X16)),0))</f>
        <v/>
      </c>
      <c r="AI16" s="17">
        <f>IF($B16="","",IF(TRIM($J16&amp;"")="",0,SUMPRODUCT((파견수련계획!$Q$4:$Q$83=TRIM($J16&amp;""))*(파견수련계획!$S$4:$S$83="구리병원")*파견수련계획!$W$4:$W$83))+IF($AG16="구리병원",MAX(0,DAY(EOMONTH(요약!$B$3,0))-N($X16)),0))</f>
        <v/>
      </c>
      <c r="AJ16" s="10">
        <f>IF(OR($B16="",TRIM($J16&amp;"")=""),"",IFERROR(MATCH(TRIM($J16&amp;"")&amp;"|월",파견수련계획!$Z$4:$Z$83,0),""))</f>
        <v/>
      </c>
      <c r="AK16" s="10">
        <f>IF(OR($B16="",TRIM($J16&amp;"")=""),"",IFERROR(MATCH(TRIM($J16&amp;"")&amp;"|다기관",파견수련계획!$AE$4:$AE$83,0),""))</f>
        <v/>
      </c>
      <c r="AL16" s="10">
        <f>IF($AK16="","","다기관 "&amp;TEXT(INDEX(파견수련계획!$AB$4:$AB$83,$AK16),"yyyy-mm-dd")&amp;"~"&amp;IF(ISNUMBER(INDEX(파견수련계획!$AC$4:$AC$83,$AK16)),TEXT(INDEX(파견수련계획!$AC$4:$AC$83,$AK16),"yyyy-mm-dd"),""))</f>
        <v/>
      </c>
    </row>
    <row r="17">
      <c r="A17" s="10">
        <f>IF(B17="","",ROW()-1)</f>
        <v/>
      </c>
      <c r="B17" s="18" t="n"/>
      <c r="C17" s="10">
        <f>IF($AB17="","",IF(INDEX(기본자료!$C$2:$C$301,$AB17)="","",INDEX(기본자료!$C$2:$C$301,$AB17)))</f>
        <v/>
      </c>
      <c r="D17" s="10">
        <f>IF($AB17="","",IF(INDEX(기본자료!$J$2:$J$301,$AB17)="","",INDEX(기본자료!$J$2:$J$301,$AB17)))</f>
        <v/>
      </c>
      <c r="E17" s="11">
        <f>IF($AB17="","",IF(INDEX(기본자료!$K$2:$K$301,$AB17)="","",IF(NOT(ISNUMBER(INDEX(기본자료!$K$2:$K$301,$AB17))),INDEX(기본자료!$K$2:$K$301,$AB17),IF(INDEX(기본자료!$K$2:$K$301,$AB17)&lt;1000000,INDEX(기본자료!$K$2:$K$301,$AB17),IF(AND(INDEX(기본자료!$K$2:$K$301,$AB17)&gt;=10000101,INT(MOD(INDEX(기본자료!$K$2:$K$301,$AB17),10000)/100)&gt;=1,INT(MOD(INDEX(기본자료!$K$2:$K$301,$AB17),10000)/100)&lt;=12,MOD(INDEX(기본자료!$K$2:$K$301,$AB17),100)&gt;=1,MOD(INDEX(기본자료!$K$2:$K$301,$AB17),100)&lt;=31),DATE(INT(INDEX(기본자료!$K$2:$K$301,$AB17)/10000),INT(MOD(INDEX(기본자료!$K$2:$K$301,$AB17),10000)/100),MOD(INDEX(기본자료!$K$2:$K$301,$AB17),100)),INDEX(기본자료!$K$2:$K$301,$AB17)&amp;"")))))</f>
        <v/>
      </c>
      <c r="F17" s="10">
        <f>IF($AB17="","",IF(INDEX(기본자료!$D$2:$D$301,$AB17)="","",INDEX(기본자료!$D$2:$D$301,$AB17)))</f>
        <v/>
      </c>
      <c r="G17" s="10">
        <f>IF($AB17="","",IF(INDEX(기본자료!$E$2:$E$301,$AB17)="","",INDEX(기본자료!$E$2:$E$301,$AB17)))</f>
        <v/>
      </c>
      <c r="H17" s="10">
        <f>IF($AB17="","",IF(INDEX(기본자료!$F$2:$F$301,$AB17)="","",INDEX(기본자료!$F$2:$F$301,$AB17)))</f>
        <v/>
      </c>
      <c r="I17" s="11">
        <f>IF($AB17="","",IF(INDEX(기본자료!$G$2:$G$301,$AB17)="","",IF(NOT(ISNUMBER(INDEX(기본자료!$G$2:$G$301,$AB17))),INDEX(기본자료!$G$2:$G$301,$AB17),IF(INDEX(기본자료!$G$2:$G$301,$AB17)&lt;1000000,INDEX(기본자료!$G$2:$G$301,$AB17),IF(AND(INDEX(기본자료!$G$2:$G$301,$AB17)&gt;=10000101,INT(MOD(INDEX(기본자료!$G$2:$G$301,$AB17),10000)/100)&gt;=1,INT(MOD(INDEX(기본자료!$G$2:$G$301,$AB17),10000)/100)&lt;=12,MOD(INDEX(기본자료!$G$2:$G$301,$AB17),100)&gt;=1,MOD(INDEX(기본자료!$G$2:$G$301,$AB17),100)&lt;=31),DATE(INT(INDEX(기본자료!$G$2:$G$301,$AB17)/10000),INT(MOD(INDEX(기본자료!$G$2:$G$301,$AB17),10000)/100),MOD(INDEX(기본자료!$G$2:$G$301,$AB17),100)),INDEX(기본자료!$G$2:$G$301,$AB17)&amp;"")))))</f>
        <v/>
      </c>
      <c r="J17" s="10">
        <f>IF($AB17="","",IF(INDEX(기본자료!$H$2:$H$301,$AB17)="","",INDEX(기본자료!$H$2:$H$301,$AB17)))</f>
        <v/>
      </c>
      <c r="K17" s="10">
        <f>IF($AB17="","",IF(INDEX(기본자료!$I$2:$I$301,$AB17)="","",INDEX(기본자료!$I$2:$I$301,$AB17)))</f>
        <v/>
      </c>
      <c r="L17" s="10">
        <f>IF($AB17="","",IF(INDEX(기본자료!$A$2:$A$301,$AB17)="","",INDEX(기본자료!$A$2:$A$301,$AB17)))</f>
        <v/>
      </c>
      <c r="M17" s="15" t="n"/>
      <c r="N17" s="10">
        <f>IF($B17="","",IF(AND($U17="파견중",$Q17&lt;&gt;""),$Q17,IF(AND($AD17&lt;&gt;"",LEFT($AD17,1)&lt;&gt;"⚠"),LEFT($AD17,FIND(" ",$AD17)-1),IF($H17="","",IF(RIGHT($H17,2)="병원",$H17,$H17&amp;"병원")))))</f>
        <v/>
      </c>
      <c r="O17" s="10">
        <f>IF($B17="","",IF(AND($U17="파견중",$Q17&lt;&gt;""),IF($R17&lt;&gt;"",$R17,"파견과 미입력"),IF(AND($AD17&lt;&gt;"",LEFT($AD17,1)&lt;&gt;"⚠"),MID($AD17,FIND(" ",$AD17)+1,60),IF($F17="","",IF($F17="인턴","수련교육부(인턴)",$F17)))))</f>
        <v/>
      </c>
      <c r="P17" s="10">
        <f>IF($B17="","",IF($AK17&lt;&gt;"",IF(AND(TODAY()&gt;=INDEX(파견수련계획!$AB$4:$AB$83,$AK17),OR(NOT(ISNUMBER(INDEX(파견수련계획!$AC$4:$AC$83,$AK17))),TODAY()&lt;=INDEX(파견수련계획!$AC$4:$AC$83,$AK17))),"다기관",IF($AF17="","",INDEX(파견수련계획!$T$4:$T$83,$AF17))),IF($AF17="","",INDEX(파견수련계획!$T$4:$T$83,$AF17))))</f>
        <v/>
      </c>
      <c r="Q17" s="10">
        <f>IF($AF17="","",INDEX(파견수련계획!$S$4:$S$83,$AF17))</f>
        <v/>
      </c>
      <c r="R17" s="10">
        <f>IF($AF17="","",INDEX(파견수련계획!$U$4:$U$83,$AF17))</f>
        <v/>
      </c>
      <c r="S17" s="11">
        <f>IF($AF17="","",IF(INDEX(파견수련계획!$H$4:$H$83,$AF17)="","",INDEX(파견수련계획!$H$4:$H$83,$AF17)))</f>
        <v/>
      </c>
      <c r="T17" s="11">
        <f>IF($AF17="","",IF(INDEX(파견수련계획!$I$4:$I$83,$AF17)="","",INDEX(파견수련계획!$I$4:$I$83,$AF17)))</f>
        <v/>
      </c>
      <c r="U17" s="10">
        <f>IF($AF17="","",INDEX(파견수련계획!$X$4:$X$83,$AF17))</f>
        <v/>
      </c>
      <c r="V17" s="17">
        <f>IF($AF17="","",INDEX(파견수련계획!$V$4:$V$83,$AF17))</f>
        <v/>
      </c>
      <c r="W17" s="17">
        <f>IF(AND($U17="파견중",$T17&lt;&gt;""),$T17-TODAY(),"")</f>
        <v/>
      </c>
      <c r="X17" s="17">
        <f>IF(OR($B17="",TRIM($J17&amp;"")=""),"",SUMPRODUCT((파견수련계획!$Q$4:$Q$83=TRIM($J17&amp;""))*파견수련계획!$W$4:$W$83))</f>
        <v/>
      </c>
      <c r="Y17" s="10">
        <f>IF($B17="","",IF($AG17="","",IF(IF(TRIM($J17&amp;"")="",0,SUMPRODUCT((파견수련계획!$Q$4:$Q$83=TRIM($J17&amp;""))*파견수련계획!$AD$4:$AD$83))&gt;0,$AE17,IF(N($X17)&lt;=0,$AG17,IF($AH17+$AI17=DAY(EOMONTH(요약!$B$3,0)),IF(AND($AH17&gt;=요약!$E$3,$AI17&lt;요약!$E$3),"서울병원",IF(AND($AI17&gt;=요약!$E$3,$AH17&lt;요약!$E$3),"구리병원","⚠15일 판정불가(서울 "&amp;$AH17&amp;"일/구리 "&amp;$AI17&amp;"일)")),IF($AJ17="",$AE17,IF(INDEX(파견수련계획!$T$4:$T$83,$AJ17)="통합수련",INDEX(파견수련계획!$S$4:$S$83,$AJ17),$AE17)))))))</f>
        <v/>
      </c>
      <c r="Z17" s="19">
        <f>IF($B17="","",IF($AB17="","기본자료에 없는 사번",IF(COUNTIF($B$2:$B$61,$B17)&gt;1,"중복 사번",IF($AE17="","소속(입사장소) 입력",IF(IF(TRIM($J17&amp;"")="",0,SUMPRODUCT((파견수련계획!$Q$4:$Q$83=TRIM($J17&amp;""))*(파견수련계획!$AA$4:$AA$83&lt;&gt;"")))&gt;0,"파견수련계획 입력오류 확인",IF(LEFT($Y17,1)="⚠","서울·구리 15일 판정 불가(양쪽 모두 이상/미만)",IF(IF($AC17="",0,N(INDEX(인턴근무계획!$T$3:$T$62,$AC17)))&gt;0,"인턴계획 입력오류 확인",IF(AND($AC17&lt;&gt;"",$U17&lt;&gt;"파견중",$N17&lt;&gt;$AE17),"인턴 타지역 근무: 파견 여부 확인","정상"))))))))</f>
        <v/>
      </c>
      <c r="AA17" s="5" t="n"/>
      <c r="AB17" s="10">
        <f>IF($B17="","",IFERROR(MATCH($B17,기본자료!$B$2:$B$301,0),IFERROR(MATCH($B17&amp;"",기본자료!$B$2:$B$301,0),IFERROR(MATCH(VALUE($B17),기본자료!$B$2:$B$301,0),""))))</f>
        <v/>
      </c>
      <c r="AC17" s="10">
        <f>IF($B17="","",IFERROR(MATCH($B17,인턴근무계획!$D$3:$D$62,0),IFERROR(MATCH($B17&amp;"",인턴근무계획!$D$3:$D$62,0),IFERROR(MATCH(VALUE($B17),인턴근무계획!$D$3:$D$62,0),""))))</f>
        <v/>
      </c>
      <c r="AD17" s="10">
        <f>IF(OR($AC17="",인턴현황!$G$3=""),"",INDEX(인턴근무계획!$M$3:$R$62,$AC17,인턴현황!$G$3)&amp;"")</f>
        <v/>
      </c>
      <c r="AE17" s="10">
        <f>IF($B17="","",IF($M17&lt;&gt;"",$M17,IF($AF17&lt;&gt;"",IF(LEFT(INDEX(파견수련계획!$R$4:$R$83,$AF17),1)&lt;&gt;"⚠",INDEX(파견수련계획!$R$4:$R$83,$AF17),IF($H17="","",IF(RIGHT($H17,2)="병원",$H17,$H17&amp;"병원"))),IF($H17="","",IF(RIGHT($H17,2)="병원",$H17,$H17&amp;"병원")))))</f>
        <v/>
      </c>
      <c r="AF17" s="10">
        <f>IF(OR($B17="",TRIM($J17&amp;"")=""),"",IFERROR(MATCH(TRIM($J17&amp;"")&amp;"|파견중",파견수련계획!$Y$4:$Y$83,0),IFERROR(MATCH(TRIM($J17&amp;"")&amp;"|파견예정",파견수련계획!$Y$4:$Y$83,0),IFERROR(MATCH(TRIM($J17&amp;"")&amp;"|파견종료",파견수련계획!$Y$4:$Y$83,0),""))))</f>
        <v/>
      </c>
      <c r="AG17" s="10">
        <f>IF($B17="","",IF(AND(IF(OR($AC17="",인턴현황!$K$2=""),"",INDEX(인턴근무계획!$M$3:$R$62,$AC17,인턴현황!$K$2)&amp;"")&lt;&gt;"",LEFT(IF(OR($AC17="",인턴현황!$K$2=""),"",INDEX(인턴근무계획!$M$3:$R$62,$AC17,인턴현황!$K$2)&amp;""),1)&lt;&gt;"⚠"),LEFT(IF(OR($AC17="",인턴현황!$K$2=""),"",INDEX(인턴근무계획!$M$3:$R$62,$AC17,인턴현황!$K$2)&amp;""),FIND(" ",IF(OR($AC17="",인턴현황!$K$2=""),"",INDEX(인턴근무계획!$M$3:$R$62,$AC17,인턴현황!$K$2)&amp;""))-1),$AE17))</f>
        <v/>
      </c>
      <c r="AH17" s="17">
        <f>IF($B17="","",IF(TRIM($J17&amp;"")="",0,SUMPRODUCT((파견수련계획!$Q$4:$Q$83=TRIM($J17&amp;""))*(파견수련계획!$S$4:$S$83="서울병원")*파견수련계획!$W$4:$W$83))+IF($AG17="서울병원",MAX(0,DAY(EOMONTH(요약!$B$3,0))-N($X17)),0))</f>
        <v/>
      </c>
      <c r="AI17" s="17">
        <f>IF($B17="","",IF(TRIM($J17&amp;"")="",0,SUMPRODUCT((파견수련계획!$Q$4:$Q$83=TRIM($J17&amp;""))*(파견수련계획!$S$4:$S$83="구리병원")*파견수련계획!$W$4:$W$83))+IF($AG17="구리병원",MAX(0,DAY(EOMONTH(요약!$B$3,0))-N($X17)),0))</f>
        <v/>
      </c>
      <c r="AJ17" s="10">
        <f>IF(OR($B17="",TRIM($J17&amp;"")=""),"",IFERROR(MATCH(TRIM($J17&amp;"")&amp;"|월",파견수련계획!$Z$4:$Z$83,0),""))</f>
        <v/>
      </c>
      <c r="AK17" s="10">
        <f>IF(OR($B17="",TRIM($J17&amp;"")=""),"",IFERROR(MATCH(TRIM($J17&amp;"")&amp;"|다기관",파견수련계획!$AE$4:$AE$83,0),""))</f>
        <v/>
      </c>
      <c r="AL17" s="10">
        <f>IF($AK17="","","다기관 "&amp;TEXT(INDEX(파견수련계획!$AB$4:$AB$83,$AK17),"yyyy-mm-dd")&amp;"~"&amp;IF(ISNUMBER(INDEX(파견수련계획!$AC$4:$AC$83,$AK17)),TEXT(INDEX(파견수련계획!$AC$4:$AC$83,$AK17),"yyyy-mm-dd"),""))</f>
        <v/>
      </c>
    </row>
    <row r="18">
      <c r="A18" s="10">
        <f>IF(B18="","",ROW()-1)</f>
        <v/>
      </c>
      <c r="B18" s="18" t="n"/>
      <c r="C18" s="10">
        <f>IF($AB18="","",IF(INDEX(기본자료!$C$2:$C$301,$AB18)="","",INDEX(기본자료!$C$2:$C$301,$AB18)))</f>
        <v/>
      </c>
      <c r="D18" s="10">
        <f>IF($AB18="","",IF(INDEX(기본자료!$J$2:$J$301,$AB18)="","",INDEX(기본자료!$J$2:$J$301,$AB18)))</f>
        <v/>
      </c>
      <c r="E18" s="11">
        <f>IF($AB18="","",IF(INDEX(기본자료!$K$2:$K$301,$AB18)="","",IF(NOT(ISNUMBER(INDEX(기본자료!$K$2:$K$301,$AB18))),INDEX(기본자료!$K$2:$K$301,$AB18),IF(INDEX(기본자료!$K$2:$K$301,$AB18)&lt;1000000,INDEX(기본자료!$K$2:$K$301,$AB18),IF(AND(INDEX(기본자료!$K$2:$K$301,$AB18)&gt;=10000101,INT(MOD(INDEX(기본자료!$K$2:$K$301,$AB18),10000)/100)&gt;=1,INT(MOD(INDEX(기본자료!$K$2:$K$301,$AB18),10000)/100)&lt;=12,MOD(INDEX(기본자료!$K$2:$K$301,$AB18),100)&gt;=1,MOD(INDEX(기본자료!$K$2:$K$301,$AB18),100)&lt;=31),DATE(INT(INDEX(기본자료!$K$2:$K$301,$AB18)/10000),INT(MOD(INDEX(기본자료!$K$2:$K$301,$AB18),10000)/100),MOD(INDEX(기본자료!$K$2:$K$301,$AB18),100)),INDEX(기본자료!$K$2:$K$301,$AB18)&amp;"")))))</f>
        <v/>
      </c>
      <c r="F18" s="10">
        <f>IF($AB18="","",IF(INDEX(기본자료!$D$2:$D$301,$AB18)="","",INDEX(기본자료!$D$2:$D$301,$AB18)))</f>
        <v/>
      </c>
      <c r="G18" s="10">
        <f>IF($AB18="","",IF(INDEX(기본자료!$E$2:$E$301,$AB18)="","",INDEX(기본자료!$E$2:$E$301,$AB18)))</f>
        <v/>
      </c>
      <c r="H18" s="10">
        <f>IF($AB18="","",IF(INDEX(기본자료!$F$2:$F$301,$AB18)="","",INDEX(기본자료!$F$2:$F$301,$AB18)))</f>
        <v/>
      </c>
      <c r="I18" s="11">
        <f>IF($AB18="","",IF(INDEX(기본자료!$G$2:$G$301,$AB18)="","",IF(NOT(ISNUMBER(INDEX(기본자료!$G$2:$G$301,$AB18))),INDEX(기본자료!$G$2:$G$301,$AB18),IF(INDEX(기본자료!$G$2:$G$301,$AB18)&lt;1000000,INDEX(기본자료!$G$2:$G$301,$AB18),IF(AND(INDEX(기본자료!$G$2:$G$301,$AB18)&gt;=10000101,INT(MOD(INDEX(기본자료!$G$2:$G$301,$AB18),10000)/100)&gt;=1,INT(MOD(INDEX(기본자료!$G$2:$G$301,$AB18),10000)/100)&lt;=12,MOD(INDEX(기본자료!$G$2:$G$301,$AB18),100)&gt;=1,MOD(INDEX(기본자료!$G$2:$G$301,$AB18),100)&lt;=31),DATE(INT(INDEX(기본자료!$G$2:$G$301,$AB18)/10000),INT(MOD(INDEX(기본자료!$G$2:$G$301,$AB18),10000)/100),MOD(INDEX(기본자료!$G$2:$G$301,$AB18),100)),INDEX(기본자료!$G$2:$G$301,$AB18)&amp;"")))))</f>
        <v/>
      </c>
      <c r="J18" s="10">
        <f>IF($AB18="","",IF(INDEX(기본자료!$H$2:$H$301,$AB18)="","",INDEX(기본자료!$H$2:$H$301,$AB18)))</f>
        <v/>
      </c>
      <c r="K18" s="10">
        <f>IF($AB18="","",IF(INDEX(기본자료!$I$2:$I$301,$AB18)="","",INDEX(기본자료!$I$2:$I$301,$AB18)))</f>
        <v/>
      </c>
      <c r="L18" s="10">
        <f>IF($AB18="","",IF(INDEX(기본자료!$A$2:$A$301,$AB18)="","",INDEX(기본자료!$A$2:$A$301,$AB18)))</f>
        <v/>
      </c>
      <c r="M18" s="15" t="n"/>
      <c r="N18" s="10">
        <f>IF($B18="","",IF(AND($U18="파견중",$Q18&lt;&gt;""),$Q18,IF(AND($AD18&lt;&gt;"",LEFT($AD18,1)&lt;&gt;"⚠"),LEFT($AD18,FIND(" ",$AD18)-1),IF($H18="","",IF(RIGHT($H18,2)="병원",$H18,$H18&amp;"병원")))))</f>
        <v/>
      </c>
      <c r="O18" s="10">
        <f>IF($B18="","",IF(AND($U18="파견중",$Q18&lt;&gt;""),IF($R18&lt;&gt;"",$R18,"파견과 미입력"),IF(AND($AD18&lt;&gt;"",LEFT($AD18,1)&lt;&gt;"⚠"),MID($AD18,FIND(" ",$AD18)+1,60),IF($F18="","",IF($F18="인턴","수련교육부(인턴)",$F18)))))</f>
        <v/>
      </c>
      <c r="P18" s="10">
        <f>IF($B18="","",IF($AK18&lt;&gt;"",IF(AND(TODAY()&gt;=INDEX(파견수련계획!$AB$4:$AB$83,$AK18),OR(NOT(ISNUMBER(INDEX(파견수련계획!$AC$4:$AC$83,$AK18))),TODAY()&lt;=INDEX(파견수련계획!$AC$4:$AC$83,$AK18))),"다기관",IF($AF18="","",INDEX(파견수련계획!$T$4:$T$83,$AF18))),IF($AF18="","",INDEX(파견수련계획!$T$4:$T$83,$AF18))))</f>
        <v/>
      </c>
      <c r="Q18" s="10">
        <f>IF($AF18="","",INDEX(파견수련계획!$S$4:$S$83,$AF18))</f>
        <v/>
      </c>
      <c r="R18" s="10">
        <f>IF($AF18="","",INDEX(파견수련계획!$U$4:$U$83,$AF18))</f>
        <v/>
      </c>
      <c r="S18" s="11">
        <f>IF($AF18="","",IF(INDEX(파견수련계획!$H$4:$H$83,$AF18)="","",INDEX(파견수련계획!$H$4:$H$83,$AF18)))</f>
        <v/>
      </c>
      <c r="T18" s="11">
        <f>IF($AF18="","",IF(INDEX(파견수련계획!$I$4:$I$83,$AF18)="","",INDEX(파견수련계획!$I$4:$I$83,$AF18)))</f>
        <v/>
      </c>
      <c r="U18" s="10">
        <f>IF($AF18="","",INDEX(파견수련계획!$X$4:$X$83,$AF18))</f>
        <v/>
      </c>
      <c r="V18" s="17">
        <f>IF($AF18="","",INDEX(파견수련계획!$V$4:$V$83,$AF18))</f>
        <v/>
      </c>
      <c r="W18" s="17">
        <f>IF(AND($U18="파견중",$T18&lt;&gt;""),$T18-TODAY(),"")</f>
        <v/>
      </c>
      <c r="X18" s="17">
        <f>IF(OR($B18="",TRIM($J18&amp;"")=""),"",SUMPRODUCT((파견수련계획!$Q$4:$Q$83=TRIM($J18&amp;""))*파견수련계획!$W$4:$W$83))</f>
        <v/>
      </c>
      <c r="Y18" s="10">
        <f>IF($B18="","",IF($AG18="","",IF(IF(TRIM($J18&amp;"")="",0,SUMPRODUCT((파견수련계획!$Q$4:$Q$83=TRIM($J18&amp;""))*파견수련계획!$AD$4:$AD$83))&gt;0,$AE18,IF(N($X18)&lt;=0,$AG18,IF($AH18+$AI18=DAY(EOMONTH(요약!$B$3,0)),IF(AND($AH18&gt;=요약!$E$3,$AI18&lt;요약!$E$3),"서울병원",IF(AND($AI18&gt;=요약!$E$3,$AH18&lt;요약!$E$3),"구리병원","⚠15일 판정불가(서울 "&amp;$AH18&amp;"일/구리 "&amp;$AI18&amp;"일)")),IF($AJ18="",$AE18,IF(INDEX(파견수련계획!$T$4:$T$83,$AJ18)="통합수련",INDEX(파견수련계획!$S$4:$S$83,$AJ18),$AE18)))))))</f>
        <v/>
      </c>
      <c r="Z18" s="19">
        <f>IF($B18="","",IF($AB18="","기본자료에 없는 사번",IF(COUNTIF($B$2:$B$61,$B18)&gt;1,"중복 사번",IF($AE18="","소속(입사장소) 입력",IF(IF(TRIM($J18&amp;"")="",0,SUMPRODUCT((파견수련계획!$Q$4:$Q$83=TRIM($J18&amp;""))*(파견수련계획!$AA$4:$AA$83&lt;&gt;"")))&gt;0,"파견수련계획 입력오류 확인",IF(LEFT($Y18,1)="⚠","서울·구리 15일 판정 불가(양쪽 모두 이상/미만)",IF(IF($AC18="",0,N(INDEX(인턴근무계획!$T$3:$T$62,$AC18)))&gt;0,"인턴계획 입력오류 확인",IF(AND($AC18&lt;&gt;"",$U18&lt;&gt;"파견중",$N18&lt;&gt;$AE18),"인턴 타지역 근무: 파견 여부 확인","정상"))))))))</f>
        <v/>
      </c>
      <c r="AA18" s="5" t="n"/>
      <c r="AB18" s="10">
        <f>IF($B18="","",IFERROR(MATCH($B18,기본자료!$B$2:$B$301,0),IFERROR(MATCH($B18&amp;"",기본자료!$B$2:$B$301,0),IFERROR(MATCH(VALUE($B18),기본자료!$B$2:$B$301,0),""))))</f>
        <v/>
      </c>
      <c r="AC18" s="10">
        <f>IF($B18="","",IFERROR(MATCH($B18,인턴근무계획!$D$3:$D$62,0),IFERROR(MATCH($B18&amp;"",인턴근무계획!$D$3:$D$62,0),IFERROR(MATCH(VALUE($B18),인턴근무계획!$D$3:$D$62,0),""))))</f>
        <v/>
      </c>
      <c r="AD18" s="10">
        <f>IF(OR($AC18="",인턴현황!$G$3=""),"",INDEX(인턴근무계획!$M$3:$R$62,$AC18,인턴현황!$G$3)&amp;"")</f>
        <v/>
      </c>
      <c r="AE18" s="10">
        <f>IF($B18="","",IF($M18&lt;&gt;"",$M18,IF($AF18&lt;&gt;"",IF(LEFT(INDEX(파견수련계획!$R$4:$R$83,$AF18),1)&lt;&gt;"⚠",INDEX(파견수련계획!$R$4:$R$83,$AF18),IF($H18="","",IF(RIGHT($H18,2)="병원",$H18,$H18&amp;"병원"))),IF($H18="","",IF(RIGHT($H18,2)="병원",$H18,$H18&amp;"병원")))))</f>
        <v/>
      </c>
      <c r="AF18" s="10">
        <f>IF(OR($B18="",TRIM($J18&amp;"")=""),"",IFERROR(MATCH(TRIM($J18&amp;"")&amp;"|파견중",파견수련계획!$Y$4:$Y$83,0),IFERROR(MATCH(TRIM($J18&amp;"")&amp;"|파견예정",파견수련계획!$Y$4:$Y$83,0),IFERROR(MATCH(TRIM($J18&amp;"")&amp;"|파견종료",파견수련계획!$Y$4:$Y$83,0),""))))</f>
        <v/>
      </c>
      <c r="AG18" s="10">
        <f>IF($B18="","",IF(AND(IF(OR($AC18="",인턴현황!$K$2=""),"",INDEX(인턴근무계획!$M$3:$R$62,$AC18,인턴현황!$K$2)&amp;"")&lt;&gt;"",LEFT(IF(OR($AC18="",인턴현황!$K$2=""),"",INDEX(인턴근무계획!$M$3:$R$62,$AC18,인턴현황!$K$2)&amp;""),1)&lt;&gt;"⚠"),LEFT(IF(OR($AC18="",인턴현황!$K$2=""),"",INDEX(인턴근무계획!$M$3:$R$62,$AC18,인턴현황!$K$2)&amp;""),FIND(" ",IF(OR($AC18="",인턴현황!$K$2=""),"",INDEX(인턴근무계획!$M$3:$R$62,$AC18,인턴현황!$K$2)&amp;""))-1),$AE18))</f>
        <v/>
      </c>
      <c r="AH18" s="17">
        <f>IF($B18="","",IF(TRIM($J18&amp;"")="",0,SUMPRODUCT((파견수련계획!$Q$4:$Q$83=TRIM($J18&amp;""))*(파견수련계획!$S$4:$S$83="서울병원")*파견수련계획!$W$4:$W$83))+IF($AG18="서울병원",MAX(0,DAY(EOMONTH(요약!$B$3,0))-N($X18)),0))</f>
        <v/>
      </c>
      <c r="AI18" s="17">
        <f>IF($B18="","",IF(TRIM($J18&amp;"")="",0,SUMPRODUCT((파견수련계획!$Q$4:$Q$83=TRIM($J18&amp;""))*(파견수련계획!$S$4:$S$83="구리병원")*파견수련계획!$W$4:$W$83))+IF($AG18="구리병원",MAX(0,DAY(EOMONTH(요약!$B$3,0))-N($X18)),0))</f>
        <v/>
      </c>
      <c r="AJ18" s="10">
        <f>IF(OR($B18="",TRIM($J18&amp;"")=""),"",IFERROR(MATCH(TRIM($J18&amp;"")&amp;"|월",파견수련계획!$Z$4:$Z$83,0),""))</f>
        <v/>
      </c>
      <c r="AK18" s="10">
        <f>IF(OR($B18="",TRIM($J18&amp;"")=""),"",IFERROR(MATCH(TRIM($J18&amp;"")&amp;"|다기관",파견수련계획!$AE$4:$AE$83,0),""))</f>
        <v/>
      </c>
      <c r="AL18" s="10">
        <f>IF($AK18="","","다기관 "&amp;TEXT(INDEX(파견수련계획!$AB$4:$AB$83,$AK18),"yyyy-mm-dd")&amp;"~"&amp;IF(ISNUMBER(INDEX(파견수련계획!$AC$4:$AC$83,$AK18)),TEXT(INDEX(파견수련계획!$AC$4:$AC$83,$AK18),"yyyy-mm-dd"),""))</f>
        <v/>
      </c>
    </row>
    <row r="19">
      <c r="A19" s="10">
        <f>IF(B19="","",ROW()-1)</f>
        <v/>
      </c>
      <c r="B19" s="18" t="n"/>
      <c r="C19" s="10">
        <f>IF($AB19="","",IF(INDEX(기본자료!$C$2:$C$301,$AB19)="","",INDEX(기본자료!$C$2:$C$301,$AB19)))</f>
        <v/>
      </c>
      <c r="D19" s="10">
        <f>IF($AB19="","",IF(INDEX(기본자료!$J$2:$J$301,$AB19)="","",INDEX(기본자료!$J$2:$J$301,$AB19)))</f>
        <v/>
      </c>
      <c r="E19" s="11">
        <f>IF($AB19="","",IF(INDEX(기본자료!$K$2:$K$301,$AB19)="","",IF(NOT(ISNUMBER(INDEX(기본자료!$K$2:$K$301,$AB19))),INDEX(기본자료!$K$2:$K$301,$AB19),IF(INDEX(기본자료!$K$2:$K$301,$AB19)&lt;1000000,INDEX(기본자료!$K$2:$K$301,$AB19),IF(AND(INDEX(기본자료!$K$2:$K$301,$AB19)&gt;=10000101,INT(MOD(INDEX(기본자료!$K$2:$K$301,$AB19),10000)/100)&gt;=1,INT(MOD(INDEX(기본자료!$K$2:$K$301,$AB19),10000)/100)&lt;=12,MOD(INDEX(기본자료!$K$2:$K$301,$AB19),100)&gt;=1,MOD(INDEX(기본자료!$K$2:$K$301,$AB19),100)&lt;=31),DATE(INT(INDEX(기본자료!$K$2:$K$301,$AB19)/10000),INT(MOD(INDEX(기본자료!$K$2:$K$301,$AB19),10000)/100),MOD(INDEX(기본자료!$K$2:$K$301,$AB19),100)),INDEX(기본자료!$K$2:$K$301,$AB19)&amp;"")))))</f>
        <v/>
      </c>
      <c r="F19" s="10">
        <f>IF($AB19="","",IF(INDEX(기본자료!$D$2:$D$301,$AB19)="","",INDEX(기본자료!$D$2:$D$301,$AB19)))</f>
        <v/>
      </c>
      <c r="G19" s="10">
        <f>IF($AB19="","",IF(INDEX(기본자료!$E$2:$E$301,$AB19)="","",INDEX(기본자료!$E$2:$E$301,$AB19)))</f>
        <v/>
      </c>
      <c r="H19" s="10">
        <f>IF($AB19="","",IF(INDEX(기본자료!$F$2:$F$301,$AB19)="","",INDEX(기본자료!$F$2:$F$301,$AB19)))</f>
        <v/>
      </c>
      <c r="I19" s="11">
        <f>IF($AB19="","",IF(INDEX(기본자료!$G$2:$G$301,$AB19)="","",IF(NOT(ISNUMBER(INDEX(기본자료!$G$2:$G$301,$AB19))),INDEX(기본자료!$G$2:$G$301,$AB19),IF(INDEX(기본자료!$G$2:$G$301,$AB19)&lt;1000000,INDEX(기본자료!$G$2:$G$301,$AB19),IF(AND(INDEX(기본자료!$G$2:$G$301,$AB19)&gt;=10000101,INT(MOD(INDEX(기본자료!$G$2:$G$301,$AB19),10000)/100)&gt;=1,INT(MOD(INDEX(기본자료!$G$2:$G$301,$AB19),10000)/100)&lt;=12,MOD(INDEX(기본자료!$G$2:$G$301,$AB19),100)&gt;=1,MOD(INDEX(기본자료!$G$2:$G$301,$AB19),100)&lt;=31),DATE(INT(INDEX(기본자료!$G$2:$G$301,$AB19)/10000),INT(MOD(INDEX(기본자료!$G$2:$G$301,$AB19),10000)/100),MOD(INDEX(기본자료!$G$2:$G$301,$AB19),100)),INDEX(기본자료!$G$2:$G$301,$AB19)&amp;"")))))</f>
        <v/>
      </c>
      <c r="J19" s="10">
        <f>IF($AB19="","",IF(INDEX(기본자료!$H$2:$H$301,$AB19)="","",INDEX(기본자료!$H$2:$H$301,$AB19)))</f>
        <v/>
      </c>
      <c r="K19" s="10">
        <f>IF($AB19="","",IF(INDEX(기본자료!$I$2:$I$301,$AB19)="","",INDEX(기본자료!$I$2:$I$301,$AB19)))</f>
        <v/>
      </c>
      <c r="L19" s="10">
        <f>IF($AB19="","",IF(INDEX(기본자료!$A$2:$A$301,$AB19)="","",INDEX(기본자료!$A$2:$A$301,$AB19)))</f>
        <v/>
      </c>
      <c r="M19" s="15" t="n"/>
      <c r="N19" s="10">
        <f>IF($B19="","",IF(AND($U19="파견중",$Q19&lt;&gt;""),$Q19,IF(AND($AD19&lt;&gt;"",LEFT($AD19,1)&lt;&gt;"⚠"),LEFT($AD19,FIND(" ",$AD19)-1),IF($H19="","",IF(RIGHT($H19,2)="병원",$H19,$H19&amp;"병원")))))</f>
        <v/>
      </c>
      <c r="O19" s="10">
        <f>IF($B19="","",IF(AND($U19="파견중",$Q19&lt;&gt;""),IF($R19&lt;&gt;"",$R19,"파견과 미입력"),IF(AND($AD19&lt;&gt;"",LEFT($AD19,1)&lt;&gt;"⚠"),MID($AD19,FIND(" ",$AD19)+1,60),IF($F19="","",IF($F19="인턴","수련교육부(인턴)",$F19)))))</f>
        <v/>
      </c>
      <c r="P19" s="10">
        <f>IF($B19="","",IF($AK19&lt;&gt;"",IF(AND(TODAY()&gt;=INDEX(파견수련계획!$AB$4:$AB$83,$AK19),OR(NOT(ISNUMBER(INDEX(파견수련계획!$AC$4:$AC$83,$AK19))),TODAY()&lt;=INDEX(파견수련계획!$AC$4:$AC$83,$AK19))),"다기관",IF($AF19="","",INDEX(파견수련계획!$T$4:$T$83,$AF19))),IF($AF19="","",INDEX(파견수련계획!$T$4:$T$83,$AF19))))</f>
        <v/>
      </c>
      <c r="Q19" s="10">
        <f>IF($AF19="","",INDEX(파견수련계획!$S$4:$S$83,$AF19))</f>
        <v/>
      </c>
      <c r="R19" s="10">
        <f>IF($AF19="","",INDEX(파견수련계획!$U$4:$U$83,$AF19))</f>
        <v/>
      </c>
      <c r="S19" s="11">
        <f>IF($AF19="","",IF(INDEX(파견수련계획!$H$4:$H$83,$AF19)="","",INDEX(파견수련계획!$H$4:$H$83,$AF19)))</f>
        <v/>
      </c>
      <c r="T19" s="11">
        <f>IF($AF19="","",IF(INDEX(파견수련계획!$I$4:$I$83,$AF19)="","",INDEX(파견수련계획!$I$4:$I$83,$AF19)))</f>
        <v/>
      </c>
      <c r="U19" s="10">
        <f>IF($AF19="","",INDEX(파견수련계획!$X$4:$X$83,$AF19))</f>
        <v/>
      </c>
      <c r="V19" s="17">
        <f>IF($AF19="","",INDEX(파견수련계획!$V$4:$V$83,$AF19))</f>
        <v/>
      </c>
      <c r="W19" s="17">
        <f>IF(AND($U19="파견중",$T19&lt;&gt;""),$T19-TODAY(),"")</f>
        <v/>
      </c>
      <c r="X19" s="17">
        <f>IF(OR($B19="",TRIM($J19&amp;"")=""),"",SUMPRODUCT((파견수련계획!$Q$4:$Q$83=TRIM($J19&amp;""))*파견수련계획!$W$4:$W$83))</f>
        <v/>
      </c>
      <c r="Y19" s="10">
        <f>IF($B19="","",IF($AG19="","",IF(IF(TRIM($J19&amp;"")="",0,SUMPRODUCT((파견수련계획!$Q$4:$Q$83=TRIM($J19&amp;""))*파견수련계획!$AD$4:$AD$83))&gt;0,$AE19,IF(N($X19)&lt;=0,$AG19,IF($AH19+$AI19=DAY(EOMONTH(요약!$B$3,0)),IF(AND($AH19&gt;=요약!$E$3,$AI19&lt;요약!$E$3),"서울병원",IF(AND($AI19&gt;=요약!$E$3,$AH19&lt;요약!$E$3),"구리병원","⚠15일 판정불가(서울 "&amp;$AH19&amp;"일/구리 "&amp;$AI19&amp;"일)")),IF($AJ19="",$AE19,IF(INDEX(파견수련계획!$T$4:$T$83,$AJ19)="통합수련",INDEX(파견수련계획!$S$4:$S$83,$AJ19),$AE19)))))))</f>
        <v/>
      </c>
      <c r="Z19" s="19">
        <f>IF($B19="","",IF($AB19="","기본자료에 없는 사번",IF(COUNTIF($B$2:$B$61,$B19)&gt;1,"중복 사번",IF($AE19="","소속(입사장소) 입력",IF(IF(TRIM($J19&amp;"")="",0,SUMPRODUCT((파견수련계획!$Q$4:$Q$83=TRIM($J19&amp;""))*(파견수련계획!$AA$4:$AA$83&lt;&gt;"")))&gt;0,"파견수련계획 입력오류 확인",IF(LEFT($Y19,1)="⚠","서울·구리 15일 판정 불가(양쪽 모두 이상/미만)",IF(IF($AC19="",0,N(INDEX(인턴근무계획!$T$3:$T$62,$AC19)))&gt;0,"인턴계획 입력오류 확인",IF(AND($AC19&lt;&gt;"",$U19&lt;&gt;"파견중",$N19&lt;&gt;$AE19),"인턴 타지역 근무: 파견 여부 확인","정상"))))))))</f>
        <v/>
      </c>
      <c r="AA19" s="5" t="n"/>
      <c r="AB19" s="10">
        <f>IF($B19="","",IFERROR(MATCH($B19,기본자료!$B$2:$B$301,0),IFERROR(MATCH($B19&amp;"",기본자료!$B$2:$B$301,0),IFERROR(MATCH(VALUE($B19),기본자료!$B$2:$B$301,0),""))))</f>
        <v/>
      </c>
      <c r="AC19" s="10">
        <f>IF($B19="","",IFERROR(MATCH($B19,인턴근무계획!$D$3:$D$62,0),IFERROR(MATCH($B19&amp;"",인턴근무계획!$D$3:$D$62,0),IFERROR(MATCH(VALUE($B19),인턴근무계획!$D$3:$D$62,0),""))))</f>
        <v/>
      </c>
      <c r="AD19" s="10">
        <f>IF(OR($AC19="",인턴현황!$G$3=""),"",INDEX(인턴근무계획!$M$3:$R$62,$AC19,인턴현황!$G$3)&amp;"")</f>
        <v/>
      </c>
      <c r="AE19" s="10">
        <f>IF($B19="","",IF($M19&lt;&gt;"",$M19,IF($AF19&lt;&gt;"",IF(LEFT(INDEX(파견수련계획!$R$4:$R$83,$AF19),1)&lt;&gt;"⚠",INDEX(파견수련계획!$R$4:$R$83,$AF19),IF($H19="","",IF(RIGHT($H19,2)="병원",$H19,$H19&amp;"병원"))),IF($H19="","",IF(RIGHT($H19,2)="병원",$H19,$H19&amp;"병원")))))</f>
        <v/>
      </c>
      <c r="AF19" s="10">
        <f>IF(OR($B19="",TRIM($J19&amp;"")=""),"",IFERROR(MATCH(TRIM($J19&amp;"")&amp;"|파견중",파견수련계획!$Y$4:$Y$83,0),IFERROR(MATCH(TRIM($J19&amp;"")&amp;"|파견예정",파견수련계획!$Y$4:$Y$83,0),IFERROR(MATCH(TRIM($J19&amp;"")&amp;"|파견종료",파견수련계획!$Y$4:$Y$83,0),""))))</f>
        <v/>
      </c>
      <c r="AG19" s="10">
        <f>IF($B19="","",IF(AND(IF(OR($AC19="",인턴현황!$K$2=""),"",INDEX(인턴근무계획!$M$3:$R$62,$AC19,인턴현황!$K$2)&amp;"")&lt;&gt;"",LEFT(IF(OR($AC19="",인턴현황!$K$2=""),"",INDEX(인턴근무계획!$M$3:$R$62,$AC19,인턴현황!$K$2)&amp;""),1)&lt;&gt;"⚠"),LEFT(IF(OR($AC19="",인턴현황!$K$2=""),"",INDEX(인턴근무계획!$M$3:$R$62,$AC19,인턴현황!$K$2)&amp;""),FIND(" ",IF(OR($AC19="",인턴현황!$K$2=""),"",INDEX(인턴근무계획!$M$3:$R$62,$AC19,인턴현황!$K$2)&amp;""))-1),$AE19))</f>
        <v/>
      </c>
      <c r="AH19" s="17">
        <f>IF($B19="","",IF(TRIM($J19&amp;"")="",0,SUMPRODUCT((파견수련계획!$Q$4:$Q$83=TRIM($J19&amp;""))*(파견수련계획!$S$4:$S$83="서울병원")*파견수련계획!$W$4:$W$83))+IF($AG19="서울병원",MAX(0,DAY(EOMONTH(요약!$B$3,0))-N($X19)),0))</f>
        <v/>
      </c>
      <c r="AI19" s="17">
        <f>IF($B19="","",IF(TRIM($J19&amp;"")="",0,SUMPRODUCT((파견수련계획!$Q$4:$Q$83=TRIM($J19&amp;""))*(파견수련계획!$S$4:$S$83="구리병원")*파견수련계획!$W$4:$W$83))+IF($AG19="구리병원",MAX(0,DAY(EOMONTH(요약!$B$3,0))-N($X19)),0))</f>
        <v/>
      </c>
      <c r="AJ19" s="10">
        <f>IF(OR($B19="",TRIM($J19&amp;"")=""),"",IFERROR(MATCH(TRIM($J19&amp;"")&amp;"|월",파견수련계획!$Z$4:$Z$83,0),""))</f>
        <v/>
      </c>
      <c r="AK19" s="10">
        <f>IF(OR($B19="",TRIM($J19&amp;"")=""),"",IFERROR(MATCH(TRIM($J19&amp;"")&amp;"|다기관",파견수련계획!$AE$4:$AE$83,0),""))</f>
        <v/>
      </c>
      <c r="AL19" s="10">
        <f>IF($AK19="","","다기관 "&amp;TEXT(INDEX(파견수련계획!$AB$4:$AB$83,$AK19),"yyyy-mm-dd")&amp;"~"&amp;IF(ISNUMBER(INDEX(파견수련계획!$AC$4:$AC$83,$AK19)),TEXT(INDEX(파견수련계획!$AC$4:$AC$83,$AK19),"yyyy-mm-dd"),""))</f>
        <v/>
      </c>
    </row>
    <row r="20">
      <c r="A20" s="10">
        <f>IF(B20="","",ROW()-1)</f>
        <v/>
      </c>
      <c r="B20" s="18" t="n"/>
      <c r="C20" s="10">
        <f>IF($AB20="","",IF(INDEX(기본자료!$C$2:$C$301,$AB20)="","",INDEX(기본자료!$C$2:$C$301,$AB20)))</f>
        <v/>
      </c>
      <c r="D20" s="10">
        <f>IF($AB20="","",IF(INDEX(기본자료!$J$2:$J$301,$AB20)="","",INDEX(기본자료!$J$2:$J$301,$AB20)))</f>
        <v/>
      </c>
      <c r="E20" s="11">
        <f>IF($AB20="","",IF(INDEX(기본자료!$K$2:$K$301,$AB20)="","",IF(NOT(ISNUMBER(INDEX(기본자료!$K$2:$K$301,$AB20))),INDEX(기본자료!$K$2:$K$301,$AB20),IF(INDEX(기본자료!$K$2:$K$301,$AB20)&lt;1000000,INDEX(기본자료!$K$2:$K$301,$AB20),IF(AND(INDEX(기본자료!$K$2:$K$301,$AB20)&gt;=10000101,INT(MOD(INDEX(기본자료!$K$2:$K$301,$AB20),10000)/100)&gt;=1,INT(MOD(INDEX(기본자료!$K$2:$K$301,$AB20),10000)/100)&lt;=12,MOD(INDEX(기본자료!$K$2:$K$301,$AB20),100)&gt;=1,MOD(INDEX(기본자료!$K$2:$K$301,$AB20),100)&lt;=31),DATE(INT(INDEX(기본자료!$K$2:$K$301,$AB20)/10000),INT(MOD(INDEX(기본자료!$K$2:$K$301,$AB20),10000)/100),MOD(INDEX(기본자료!$K$2:$K$301,$AB20),100)),INDEX(기본자료!$K$2:$K$301,$AB20)&amp;"")))))</f>
        <v/>
      </c>
      <c r="F20" s="10">
        <f>IF($AB20="","",IF(INDEX(기본자료!$D$2:$D$301,$AB20)="","",INDEX(기본자료!$D$2:$D$301,$AB20)))</f>
        <v/>
      </c>
      <c r="G20" s="10">
        <f>IF($AB20="","",IF(INDEX(기본자료!$E$2:$E$301,$AB20)="","",INDEX(기본자료!$E$2:$E$301,$AB20)))</f>
        <v/>
      </c>
      <c r="H20" s="10">
        <f>IF($AB20="","",IF(INDEX(기본자료!$F$2:$F$301,$AB20)="","",INDEX(기본자료!$F$2:$F$301,$AB20)))</f>
        <v/>
      </c>
      <c r="I20" s="11">
        <f>IF($AB20="","",IF(INDEX(기본자료!$G$2:$G$301,$AB20)="","",IF(NOT(ISNUMBER(INDEX(기본자료!$G$2:$G$301,$AB20))),INDEX(기본자료!$G$2:$G$301,$AB20),IF(INDEX(기본자료!$G$2:$G$301,$AB20)&lt;1000000,INDEX(기본자료!$G$2:$G$301,$AB20),IF(AND(INDEX(기본자료!$G$2:$G$301,$AB20)&gt;=10000101,INT(MOD(INDEX(기본자료!$G$2:$G$301,$AB20),10000)/100)&gt;=1,INT(MOD(INDEX(기본자료!$G$2:$G$301,$AB20),10000)/100)&lt;=12,MOD(INDEX(기본자료!$G$2:$G$301,$AB20),100)&gt;=1,MOD(INDEX(기본자료!$G$2:$G$301,$AB20),100)&lt;=31),DATE(INT(INDEX(기본자료!$G$2:$G$301,$AB20)/10000),INT(MOD(INDEX(기본자료!$G$2:$G$301,$AB20),10000)/100),MOD(INDEX(기본자료!$G$2:$G$301,$AB20),100)),INDEX(기본자료!$G$2:$G$301,$AB20)&amp;"")))))</f>
        <v/>
      </c>
      <c r="J20" s="10">
        <f>IF($AB20="","",IF(INDEX(기본자료!$H$2:$H$301,$AB20)="","",INDEX(기본자료!$H$2:$H$301,$AB20)))</f>
        <v/>
      </c>
      <c r="K20" s="10">
        <f>IF($AB20="","",IF(INDEX(기본자료!$I$2:$I$301,$AB20)="","",INDEX(기본자료!$I$2:$I$301,$AB20)))</f>
        <v/>
      </c>
      <c r="L20" s="10">
        <f>IF($AB20="","",IF(INDEX(기본자료!$A$2:$A$301,$AB20)="","",INDEX(기본자료!$A$2:$A$301,$AB20)))</f>
        <v/>
      </c>
      <c r="M20" s="15" t="n"/>
      <c r="N20" s="10">
        <f>IF($B20="","",IF(AND($U20="파견중",$Q20&lt;&gt;""),$Q20,IF(AND($AD20&lt;&gt;"",LEFT($AD20,1)&lt;&gt;"⚠"),LEFT($AD20,FIND(" ",$AD20)-1),IF($H20="","",IF(RIGHT($H20,2)="병원",$H20,$H20&amp;"병원")))))</f>
        <v/>
      </c>
      <c r="O20" s="10">
        <f>IF($B20="","",IF(AND($U20="파견중",$Q20&lt;&gt;""),IF($R20&lt;&gt;"",$R20,"파견과 미입력"),IF(AND($AD20&lt;&gt;"",LEFT($AD20,1)&lt;&gt;"⚠"),MID($AD20,FIND(" ",$AD20)+1,60),IF($F20="","",IF($F20="인턴","수련교육부(인턴)",$F20)))))</f>
        <v/>
      </c>
      <c r="P20" s="10">
        <f>IF($B20="","",IF($AK20&lt;&gt;"",IF(AND(TODAY()&gt;=INDEX(파견수련계획!$AB$4:$AB$83,$AK20),OR(NOT(ISNUMBER(INDEX(파견수련계획!$AC$4:$AC$83,$AK20))),TODAY()&lt;=INDEX(파견수련계획!$AC$4:$AC$83,$AK20))),"다기관",IF($AF20="","",INDEX(파견수련계획!$T$4:$T$83,$AF20))),IF($AF20="","",INDEX(파견수련계획!$T$4:$T$83,$AF20))))</f>
        <v/>
      </c>
      <c r="Q20" s="10">
        <f>IF($AF20="","",INDEX(파견수련계획!$S$4:$S$83,$AF20))</f>
        <v/>
      </c>
      <c r="R20" s="10">
        <f>IF($AF20="","",INDEX(파견수련계획!$U$4:$U$83,$AF20))</f>
        <v/>
      </c>
      <c r="S20" s="11">
        <f>IF($AF20="","",IF(INDEX(파견수련계획!$H$4:$H$83,$AF20)="","",INDEX(파견수련계획!$H$4:$H$83,$AF20)))</f>
        <v/>
      </c>
      <c r="T20" s="11">
        <f>IF($AF20="","",IF(INDEX(파견수련계획!$I$4:$I$83,$AF20)="","",INDEX(파견수련계획!$I$4:$I$83,$AF20)))</f>
        <v/>
      </c>
      <c r="U20" s="10">
        <f>IF($AF20="","",INDEX(파견수련계획!$X$4:$X$83,$AF20))</f>
        <v/>
      </c>
      <c r="V20" s="17">
        <f>IF($AF20="","",INDEX(파견수련계획!$V$4:$V$83,$AF20))</f>
        <v/>
      </c>
      <c r="W20" s="17">
        <f>IF(AND($U20="파견중",$T20&lt;&gt;""),$T20-TODAY(),"")</f>
        <v/>
      </c>
      <c r="X20" s="17">
        <f>IF(OR($B20="",TRIM($J20&amp;"")=""),"",SUMPRODUCT((파견수련계획!$Q$4:$Q$83=TRIM($J20&amp;""))*파견수련계획!$W$4:$W$83))</f>
        <v/>
      </c>
      <c r="Y20" s="10">
        <f>IF($B20="","",IF($AG20="","",IF(IF(TRIM($J20&amp;"")="",0,SUMPRODUCT((파견수련계획!$Q$4:$Q$83=TRIM($J20&amp;""))*파견수련계획!$AD$4:$AD$83))&gt;0,$AE20,IF(N($X20)&lt;=0,$AG20,IF($AH20+$AI20=DAY(EOMONTH(요약!$B$3,0)),IF(AND($AH20&gt;=요약!$E$3,$AI20&lt;요약!$E$3),"서울병원",IF(AND($AI20&gt;=요약!$E$3,$AH20&lt;요약!$E$3),"구리병원","⚠15일 판정불가(서울 "&amp;$AH20&amp;"일/구리 "&amp;$AI20&amp;"일)")),IF($AJ20="",$AE20,IF(INDEX(파견수련계획!$T$4:$T$83,$AJ20)="통합수련",INDEX(파견수련계획!$S$4:$S$83,$AJ20),$AE20)))))))</f>
        <v/>
      </c>
      <c r="Z20" s="19">
        <f>IF($B20="","",IF($AB20="","기본자료에 없는 사번",IF(COUNTIF($B$2:$B$61,$B20)&gt;1,"중복 사번",IF($AE20="","소속(입사장소) 입력",IF(IF(TRIM($J20&amp;"")="",0,SUMPRODUCT((파견수련계획!$Q$4:$Q$83=TRIM($J20&amp;""))*(파견수련계획!$AA$4:$AA$83&lt;&gt;"")))&gt;0,"파견수련계획 입력오류 확인",IF(LEFT($Y20,1)="⚠","서울·구리 15일 판정 불가(양쪽 모두 이상/미만)",IF(IF($AC20="",0,N(INDEX(인턴근무계획!$T$3:$T$62,$AC20)))&gt;0,"인턴계획 입력오류 확인",IF(AND($AC20&lt;&gt;"",$U20&lt;&gt;"파견중",$N20&lt;&gt;$AE20),"인턴 타지역 근무: 파견 여부 확인","정상"))))))))</f>
        <v/>
      </c>
      <c r="AA20" s="5" t="n"/>
      <c r="AB20" s="10">
        <f>IF($B20="","",IFERROR(MATCH($B20,기본자료!$B$2:$B$301,0),IFERROR(MATCH($B20&amp;"",기본자료!$B$2:$B$301,0),IFERROR(MATCH(VALUE($B20),기본자료!$B$2:$B$301,0),""))))</f>
        <v/>
      </c>
      <c r="AC20" s="10">
        <f>IF($B20="","",IFERROR(MATCH($B20,인턴근무계획!$D$3:$D$62,0),IFERROR(MATCH($B20&amp;"",인턴근무계획!$D$3:$D$62,0),IFERROR(MATCH(VALUE($B20),인턴근무계획!$D$3:$D$62,0),""))))</f>
        <v/>
      </c>
      <c r="AD20" s="10">
        <f>IF(OR($AC20="",인턴현황!$G$3=""),"",INDEX(인턴근무계획!$M$3:$R$62,$AC20,인턴현황!$G$3)&amp;"")</f>
        <v/>
      </c>
      <c r="AE20" s="10">
        <f>IF($B20="","",IF($M20&lt;&gt;"",$M20,IF($AF20&lt;&gt;"",IF(LEFT(INDEX(파견수련계획!$R$4:$R$83,$AF20),1)&lt;&gt;"⚠",INDEX(파견수련계획!$R$4:$R$83,$AF20),IF($H20="","",IF(RIGHT($H20,2)="병원",$H20,$H20&amp;"병원"))),IF($H20="","",IF(RIGHT($H20,2)="병원",$H20,$H20&amp;"병원")))))</f>
        <v/>
      </c>
      <c r="AF20" s="10">
        <f>IF(OR($B20="",TRIM($J20&amp;"")=""),"",IFERROR(MATCH(TRIM($J20&amp;"")&amp;"|파견중",파견수련계획!$Y$4:$Y$83,0),IFERROR(MATCH(TRIM($J20&amp;"")&amp;"|파견예정",파견수련계획!$Y$4:$Y$83,0),IFERROR(MATCH(TRIM($J20&amp;"")&amp;"|파견종료",파견수련계획!$Y$4:$Y$83,0),""))))</f>
        <v/>
      </c>
      <c r="AG20" s="10">
        <f>IF($B20="","",IF(AND(IF(OR($AC20="",인턴현황!$K$2=""),"",INDEX(인턴근무계획!$M$3:$R$62,$AC20,인턴현황!$K$2)&amp;"")&lt;&gt;"",LEFT(IF(OR($AC20="",인턴현황!$K$2=""),"",INDEX(인턴근무계획!$M$3:$R$62,$AC20,인턴현황!$K$2)&amp;""),1)&lt;&gt;"⚠"),LEFT(IF(OR($AC20="",인턴현황!$K$2=""),"",INDEX(인턴근무계획!$M$3:$R$62,$AC20,인턴현황!$K$2)&amp;""),FIND(" ",IF(OR($AC20="",인턴현황!$K$2=""),"",INDEX(인턴근무계획!$M$3:$R$62,$AC20,인턴현황!$K$2)&amp;""))-1),$AE20))</f>
        <v/>
      </c>
      <c r="AH20" s="17">
        <f>IF($B20="","",IF(TRIM($J20&amp;"")="",0,SUMPRODUCT((파견수련계획!$Q$4:$Q$83=TRIM($J20&amp;""))*(파견수련계획!$S$4:$S$83="서울병원")*파견수련계획!$W$4:$W$83))+IF($AG20="서울병원",MAX(0,DAY(EOMONTH(요약!$B$3,0))-N($X20)),0))</f>
        <v/>
      </c>
      <c r="AI20" s="17">
        <f>IF($B20="","",IF(TRIM($J20&amp;"")="",0,SUMPRODUCT((파견수련계획!$Q$4:$Q$83=TRIM($J20&amp;""))*(파견수련계획!$S$4:$S$83="구리병원")*파견수련계획!$W$4:$W$83))+IF($AG20="구리병원",MAX(0,DAY(EOMONTH(요약!$B$3,0))-N($X20)),0))</f>
        <v/>
      </c>
      <c r="AJ20" s="10">
        <f>IF(OR($B20="",TRIM($J20&amp;"")=""),"",IFERROR(MATCH(TRIM($J20&amp;"")&amp;"|월",파견수련계획!$Z$4:$Z$83,0),""))</f>
        <v/>
      </c>
      <c r="AK20" s="10">
        <f>IF(OR($B20="",TRIM($J20&amp;"")=""),"",IFERROR(MATCH(TRIM($J20&amp;"")&amp;"|다기관",파견수련계획!$AE$4:$AE$83,0),""))</f>
        <v/>
      </c>
      <c r="AL20" s="10">
        <f>IF($AK20="","","다기관 "&amp;TEXT(INDEX(파견수련계획!$AB$4:$AB$83,$AK20),"yyyy-mm-dd")&amp;"~"&amp;IF(ISNUMBER(INDEX(파견수련계획!$AC$4:$AC$83,$AK20)),TEXT(INDEX(파견수련계획!$AC$4:$AC$83,$AK20),"yyyy-mm-dd"),""))</f>
        <v/>
      </c>
    </row>
    <row r="21">
      <c r="A21" s="10">
        <f>IF(B21="","",ROW()-1)</f>
        <v/>
      </c>
      <c r="B21" s="18" t="n"/>
      <c r="C21" s="10">
        <f>IF($AB21="","",IF(INDEX(기본자료!$C$2:$C$301,$AB21)="","",INDEX(기본자료!$C$2:$C$301,$AB21)))</f>
        <v/>
      </c>
      <c r="D21" s="10">
        <f>IF($AB21="","",IF(INDEX(기본자료!$J$2:$J$301,$AB21)="","",INDEX(기본자료!$J$2:$J$301,$AB21)))</f>
        <v/>
      </c>
      <c r="E21" s="11">
        <f>IF($AB21="","",IF(INDEX(기본자료!$K$2:$K$301,$AB21)="","",IF(NOT(ISNUMBER(INDEX(기본자료!$K$2:$K$301,$AB21))),INDEX(기본자료!$K$2:$K$301,$AB21),IF(INDEX(기본자료!$K$2:$K$301,$AB21)&lt;1000000,INDEX(기본자료!$K$2:$K$301,$AB21),IF(AND(INDEX(기본자료!$K$2:$K$301,$AB21)&gt;=10000101,INT(MOD(INDEX(기본자료!$K$2:$K$301,$AB21),10000)/100)&gt;=1,INT(MOD(INDEX(기본자료!$K$2:$K$301,$AB21),10000)/100)&lt;=12,MOD(INDEX(기본자료!$K$2:$K$301,$AB21),100)&gt;=1,MOD(INDEX(기본자료!$K$2:$K$301,$AB21),100)&lt;=31),DATE(INT(INDEX(기본자료!$K$2:$K$301,$AB21)/10000),INT(MOD(INDEX(기본자료!$K$2:$K$301,$AB21),10000)/100),MOD(INDEX(기본자료!$K$2:$K$301,$AB21),100)),INDEX(기본자료!$K$2:$K$301,$AB21)&amp;"")))))</f>
        <v/>
      </c>
      <c r="F21" s="10">
        <f>IF($AB21="","",IF(INDEX(기본자료!$D$2:$D$301,$AB21)="","",INDEX(기본자료!$D$2:$D$301,$AB21)))</f>
        <v/>
      </c>
      <c r="G21" s="10">
        <f>IF($AB21="","",IF(INDEX(기본자료!$E$2:$E$301,$AB21)="","",INDEX(기본자료!$E$2:$E$301,$AB21)))</f>
        <v/>
      </c>
      <c r="H21" s="10">
        <f>IF($AB21="","",IF(INDEX(기본자료!$F$2:$F$301,$AB21)="","",INDEX(기본자료!$F$2:$F$301,$AB21)))</f>
        <v/>
      </c>
      <c r="I21" s="11">
        <f>IF($AB21="","",IF(INDEX(기본자료!$G$2:$G$301,$AB21)="","",IF(NOT(ISNUMBER(INDEX(기본자료!$G$2:$G$301,$AB21))),INDEX(기본자료!$G$2:$G$301,$AB21),IF(INDEX(기본자료!$G$2:$G$301,$AB21)&lt;1000000,INDEX(기본자료!$G$2:$G$301,$AB21),IF(AND(INDEX(기본자료!$G$2:$G$301,$AB21)&gt;=10000101,INT(MOD(INDEX(기본자료!$G$2:$G$301,$AB21),10000)/100)&gt;=1,INT(MOD(INDEX(기본자료!$G$2:$G$301,$AB21),10000)/100)&lt;=12,MOD(INDEX(기본자료!$G$2:$G$301,$AB21),100)&gt;=1,MOD(INDEX(기본자료!$G$2:$G$301,$AB21),100)&lt;=31),DATE(INT(INDEX(기본자료!$G$2:$G$301,$AB21)/10000),INT(MOD(INDEX(기본자료!$G$2:$G$301,$AB21),10000)/100),MOD(INDEX(기본자료!$G$2:$G$301,$AB21),100)),INDEX(기본자료!$G$2:$G$301,$AB21)&amp;"")))))</f>
        <v/>
      </c>
      <c r="J21" s="10">
        <f>IF($AB21="","",IF(INDEX(기본자료!$H$2:$H$301,$AB21)="","",INDEX(기본자료!$H$2:$H$301,$AB21)))</f>
        <v/>
      </c>
      <c r="K21" s="10">
        <f>IF($AB21="","",IF(INDEX(기본자료!$I$2:$I$301,$AB21)="","",INDEX(기본자료!$I$2:$I$301,$AB21)))</f>
        <v/>
      </c>
      <c r="L21" s="10">
        <f>IF($AB21="","",IF(INDEX(기본자료!$A$2:$A$301,$AB21)="","",INDEX(기본자료!$A$2:$A$301,$AB21)))</f>
        <v/>
      </c>
      <c r="M21" s="15" t="n"/>
      <c r="N21" s="10">
        <f>IF($B21="","",IF(AND($U21="파견중",$Q21&lt;&gt;""),$Q21,IF(AND($AD21&lt;&gt;"",LEFT($AD21,1)&lt;&gt;"⚠"),LEFT($AD21,FIND(" ",$AD21)-1),IF($H21="","",IF(RIGHT($H21,2)="병원",$H21,$H21&amp;"병원")))))</f>
        <v/>
      </c>
      <c r="O21" s="10">
        <f>IF($B21="","",IF(AND($U21="파견중",$Q21&lt;&gt;""),IF($R21&lt;&gt;"",$R21,"파견과 미입력"),IF(AND($AD21&lt;&gt;"",LEFT($AD21,1)&lt;&gt;"⚠"),MID($AD21,FIND(" ",$AD21)+1,60),IF($F21="","",IF($F21="인턴","수련교육부(인턴)",$F21)))))</f>
        <v/>
      </c>
      <c r="P21" s="10">
        <f>IF($B21="","",IF($AK21&lt;&gt;"",IF(AND(TODAY()&gt;=INDEX(파견수련계획!$AB$4:$AB$83,$AK21),OR(NOT(ISNUMBER(INDEX(파견수련계획!$AC$4:$AC$83,$AK21))),TODAY()&lt;=INDEX(파견수련계획!$AC$4:$AC$83,$AK21))),"다기관",IF($AF21="","",INDEX(파견수련계획!$T$4:$T$83,$AF21))),IF($AF21="","",INDEX(파견수련계획!$T$4:$T$83,$AF21))))</f>
        <v/>
      </c>
      <c r="Q21" s="10">
        <f>IF($AF21="","",INDEX(파견수련계획!$S$4:$S$83,$AF21))</f>
        <v/>
      </c>
      <c r="R21" s="10">
        <f>IF($AF21="","",INDEX(파견수련계획!$U$4:$U$83,$AF21))</f>
        <v/>
      </c>
      <c r="S21" s="11">
        <f>IF($AF21="","",IF(INDEX(파견수련계획!$H$4:$H$83,$AF21)="","",INDEX(파견수련계획!$H$4:$H$83,$AF21)))</f>
        <v/>
      </c>
      <c r="T21" s="11">
        <f>IF($AF21="","",IF(INDEX(파견수련계획!$I$4:$I$83,$AF21)="","",INDEX(파견수련계획!$I$4:$I$83,$AF21)))</f>
        <v/>
      </c>
      <c r="U21" s="10">
        <f>IF($AF21="","",INDEX(파견수련계획!$X$4:$X$83,$AF21))</f>
        <v/>
      </c>
      <c r="V21" s="17">
        <f>IF($AF21="","",INDEX(파견수련계획!$V$4:$V$83,$AF21))</f>
        <v/>
      </c>
      <c r="W21" s="17">
        <f>IF(AND($U21="파견중",$T21&lt;&gt;""),$T21-TODAY(),"")</f>
        <v/>
      </c>
      <c r="X21" s="17">
        <f>IF(OR($B21="",TRIM($J21&amp;"")=""),"",SUMPRODUCT((파견수련계획!$Q$4:$Q$83=TRIM($J21&amp;""))*파견수련계획!$W$4:$W$83))</f>
        <v/>
      </c>
      <c r="Y21" s="10">
        <f>IF($B21="","",IF($AG21="","",IF(IF(TRIM($J21&amp;"")="",0,SUMPRODUCT((파견수련계획!$Q$4:$Q$83=TRIM($J21&amp;""))*파견수련계획!$AD$4:$AD$83))&gt;0,$AE21,IF(N($X21)&lt;=0,$AG21,IF($AH21+$AI21=DAY(EOMONTH(요약!$B$3,0)),IF(AND($AH21&gt;=요약!$E$3,$AI21&lt;요약!$E$3),"서울병원",IF(AND($AI21&gt;=요약!$E$3,$AH21&lt;요약!$E$3),"구리병원","⚠15일 판정불가(서울 "&amp;$AH21&amp;"일/구리 "&amp;$AI21&amp;"일)")),IF($AJ21="",$AE21,IF(INDEX(파견수련계획!$T$4:$T$83,$AJ21)="통합수련",INDEX(파견수련계획!$S$4:$S$83,$AJ21),$AE21)))))))</f>
        <v/>
      </c>
      <c r="Z21" s="19">
        <f>IF($B21="","",IF($AB21="","기본자료에 없는 사번",IF(COUNTIF($B$2:$B$61,$B21)&gt;1,"중복 사번",IF($AE21="","소속(입사장소) 입력",IF(IF(TRIM($J21&amp;"")="",0,SUMPRODUCT((파견수련계획!$Q$4:$Q$83=TRIM($J21&amp;""))*(파견수련계획!$AA$4:$AA$83&lt;&gt;"")))&gt;0,"파견수련계획 입력오류 확인",IF(LEFT($Y21,1)="⚠","서울·구리 15일 판정 불가(양쪽 모두 이상/미만)",IF(IF($AC21="",0,N(INDEX(인턴근무계획!$T$3:$T$62,$AC21)))&gt;0,"인턴계획 입력오류 확인",IF(AND($AC21&lt;&gt;"",$U21&lt;&gt;"파견중",$N21&lt;&gt;$AE21),"인턴 타지역 근무: 파견 여부 확인","정상"))))))))</f>
        <v/>
      </c>
      <c r="AA21" s="5" t="n"/>
      <c r="AB21" s="10">
        <f>IF($B21="","",IFERROR(MATCH($B21,기본자료!$B$2:$B$301,0),IFERROR(MATCH($B21&amp;"",기본자료!$B$2:$B$301,0),IFERROR(MATCH(VALUE($B21),기본자료!$B$2:$B$301,0),""))))</f>
        <v/>
      </c>
      <c r="AC21" s="10">
        <f>IF($B21="","",IFERROR(MATCH($B21,인턴근무계획!$D$3:$D$62,0),IFERROR(MATCH($B21&amp;"",인턴근무계획!$D$3:$D$62,0),IFERROR(MATCH(VALUE($B21),인턴근무계획!$D$3:$D$62,0),""))))</f>
        <v/>
      </c>
      <c r="AD21" s="10">
        <f>IF(OR($AC21="",인턴현황!$G$3=""),"",INDEX(인턴근무계획!$M$3:$R$62,$AC21,인턴현황!$G$3)&amp;"")</f>
        <v/>
      </c>
      <c r="AE21" s="10">
        <f>IF($B21="","",IF($M21&lt;&gt;"",$M21,IF($AF21&lt;&gt;"",IF(LEFT(INDEX(파견수련계획!$R$4:$R$83,$AF21),1)&lt;&gt;"⚠",INDEX(파견수련계획!$R$4:$R$83,$AF21),IF($H21="","",IF(RIGHT($H21,2)="병원",$H21,$H21&amp;"병원"))),IF($H21="","",IF(RIGHT($H21,2)="병원",$H21,$H21&amp;"병원")))))</f>
        <v/>
      </c>
      <c r="AF21" s="10">
        <f>IF(OR($B21="",TRIM($J21&amp;"")=""),"",IFERROR(MATCH(TRIM($J21&amp;"")&amp;"|파견중",파견수련계획!$Y$4:$Y$83,0),IFERROR(MATCH(TRIM($J21&amp;"")&amp;"|파견예정",파견수련계획!$Y$4:$Y$83,0),IFERROR(MATCH(TRIM($J21&amp;"")&amp;"|파견종료",파견수련계획!$Y$4:$Y$83,0),""))))</f>
        <v/>
      </c>
      <c r="AG21" s="10">
        <f>IF($B21="","",IF(AND(IF(OR($AC21="",인턴현황!$K$2=""),"",INDEX(인턴근무계획!$M$3:$R$62,$AC21,인턴현황!$K$2)&amp;"")&lt;&gt;"",LEFT(IF(OR($AC21="",인턴현황!$K$2=""),"",INDEX(인턴근무계획!$M$3:$R$62,$AC21,인턴현황!$K$2)&amp;""),1)&lt;&gt;"⚠"),LEFT(IF(OR($AC21="",인턴현황!$K$2=""),"",INDEX(인턴근무계획!$M$3:$R$62,$AC21,인턴현황!$K$2)&amp;""),FIND(" ",IF(OR($AC21="",인턴현황!$K$2=""),"",INDEX(인턴근무계획!$M$3:$R$62,$AC21,인턴현황!$K$2)&amp;""))-1),$AE21))</f>
        <v/>
      </c>
      <c r="AH21" s="17">
        <f>IF($B21="","",IF(TRIM($J21&amp;"")="",0,SUMPRODUCT((파견수련계획!$Q$4:$Q$83=TRIM($J21&amp;""))*(파견수련계획!$S$4:$S$83="서울병원")*파견수련계획!$W$4:$W$83))+IF($AG21="서울병원",MAX(0,DAY(EOMONTH(요약!$B$3,0))-N($X21)),0))</f>
        <v/>
      </c>
      <c r="AI21" s="17">
        <f>IF($B21="","",IF(TRIM($J21&amp;"")="",0,SUMPRODUCT((파견수련계획!$Q$4:$Q$83=TRIM($J21&amp;""))*(파견수련계획!$S$4:$S$83="구리병원")*파견수련계획!$W$4:$W$83))+IF($AG21="구리병원",MAX(0,DAY(EOMONTH(요약!$B$3,0))-N($X21)),0))</f>
        <v/>
      </c>
      <c r="AJ21" s="10">
        <f>IF(OR($B21="",TRIM($J21&amp;"")=""),"",IFERROR(MATCH(TRIM($J21&amp;"")&amp;"|월",파견수련계획!$Z$4:$Z$83,0),""))</f>
        <v/>
      </c>
      <c r="AK21" s="10">
        <f>IF(OR($B21="",TRIM($J21&amp;"")=""),"",IFERROR(MATCH(TRIM($J21&amp;"")&amp;"|다기관",파견수련계획!$AE$4:$AE$83,0),""))</f>
        <v/>
      </c>
      <c r="AL21" s="10">
        <f>IF($AK21="","","다기관 "&amp;TEXT(INDEX(파견수련계획!$AB$4:$AB$83,$AK21),"yyyy-mm-dd")&amp;"~"&amp;IF(ISNUMBER(INDEX(파견수련계획!$AC$4:$AC$83,$AK21)),TEXT(INDEX(파견수련계획!$AC$4:$AC$83,$AK21),"yyyy-mm-dd"),""))</f>
        <v/>
      </c>
    </row>
    <row r="22">
      <c r="A22" s="10">
        <f>IF(B22="","",ROW()-1)</f>
        <v/>
      </c>
      <c r="B22" s="18" t="n"/>
      <c r="C22" s="10">
        <f>IF($AB22="","",IF(INDEX(기본자료!$C$2:$C$301,$AB22)="","",INDEX(기본자료!$C$2:$C$301,$AB22)))</f>
        <v/>
      </c>
      <c r="D22" s="10">
        <f>IF($AB22="","",IF(INDEX(기본자료!$J$2:$J$301,$AB22)="","",INDEX(기본자료!$J$2:$J$301,$AB22)))</f>
        <v/>
      </c>
      <c r="E22" s="11">
        <f>IF($AB22="","",IF(INDEX(기본자료!$K$2:$K$301,$AB22)="","",IF(NOT(ISNUMBER(INDEX(기본자료!$K$2:$K$301,$AB22))),INDEX(기본자료!$K$2:$K$301,$AB22),IF(INDEX(기본자료!$K$2:$K$301,$AB22)&lt;1000000,INDEX(기본자료!$K$2:$K$301,$AB22),IF(AND(INDEX(기본자료!$K$2:$K$301,$AB22)&gt;=10000101,INT(MOD(INDEX(기본자료!$K$2:$K$301,$AB22),10000)/100)&gt;=1,INT(MOD(INDEX(기본자료!$K$2:$K$301,$AB22),10000)/100)&lt;=12,MOD(INDEX(기본자료!$K$2:$K$301,$AB22),100)&gt;=1,MOD(INDEX(기본자료!$K$2:$K$301,$AB22),100)&lt;=31),DATE(INT(INDEX(기본자료!$K$2:$K$301,$AB22)/10000),INT(MOD(INDEX(기본자료!$K$2:$K$301,$AB22),10000)/100),MOD(INDEX(기본자료!$K$2:$K$301,$AB22),100)),INDEX(기본자료!$K$2:$K$301,$AB22)&amp;"")))))</f>
        <v/>
      </c>
      <c r="F22" s="10">
        <f>IF($AB22="","",IF(INDEX(기본자료!$D$2:$D$301,$AB22)="","",INDEX(기본자료!$D$2:$D$301,$AB22)))</f>
        <v/>
      </c>
      <c r="G22" s="10">
        <f>IF($AB22="","",IF(INDEX(기본자료!$E$2:$E$301,$AB22)="","",INDEX(기본자료!$E$2:$E$301,$AB22)))</f>
        <v/>
      </c>
      <c r="H22" s="10">
        <f>IF($AB22="","",IF(INDEX(기본자료!$F$2:$F$301,$AB22)="","",INDEX(기본자료!$F$2:$F$301,$AB22)))</f>
        <v/>
      </c>
      <c r="I22" s="11">
        <f>IF($AB22="","",IF(INDEX(기본자료!$G$2:$G$301,$AB22)="","",IF(NOT(ISNUMBER(INDEX(기본자료!$G$2:$G$301,$AB22))),INDEX(기본자료!$G$2:$G$301,$AB22),IF(INDEX(기본자료!$G$2:$G$301,$AB22)&lt;1000000,INDEX(기본자료!$G$2:$G$301,$AB22),IF(AND(INDEX(기본자료!$G$2:$G$301,$AB22)&gt;=10000101,INT(MOD(INDEX(기본자료!$G$2:$G$301,$AB22),10000)/100)&gt;=1,INT(MOD(INDEX(기본자료!$G$2:$G$301,$AB22),10000)/100)&lt;=12,MOD(INDEX(기본자료!$G$2:$G$301,$AB22),100)&gt;=1,MOD(INDEX(기본자료!$G$2:$G$301,$AB22),100)&lt;=31),DATE(INT(INDEX(기본자료!$G$2:$G$301,$AB22)/10000),INT(MOD(INDEX(기본자료!$G$2:$G$301,$AB22),10000)/100),MOD(INDEX(기본자료!$G$2:$G$301,$AB22),100)),INDEX(기본자료!$G$2:$G$301,$AB22)&amp;"")))))</f>
        <v/>
      </c>
      <c r="J22" s="10">
        <f>IF($AB22="","",IF(INDEX(기본자료!$H$2:$H$301,$AB22)="","",INDEX(기본자료!$H$2:$H$301,$AB22)))</f>
        <v/>
      </c>
      <c r="K22" s="10">
        <f>IF($AB22="","",IF(INDEX(기본자료!$I$2:$I$301,$AB22)="","",INDEX(기본자료!$I$2:$I$301,$AB22)))</f>
        <v/>
      </c>
      <c r="L22" s="10">
        <f>IF($AB22="","",IF(INDEX(기본자료!$A$2:$A$301,$AB22)="","",INDEX(기본자료!$A$2:$A$301,$AB22)))</f>
        <v/>
      </c>
      <c r="M22" s="15" t="n"/>
      <c r="N22" s="10">
        <f>IF($B22="","",IF(AND($U22="파견중",$Q22&lt;&gt;""),$Q22,IF(AND($AD22&lt;&gt;"",LEFT($AD22,1)&lt;&gt;"⚠"),LEFT($AD22,FIND(" ",$AD22)-1),IF($H22="","",IF(RIGHT($H22,2)="병원",$H22,$H22&amp;"병원")))))</f>
        <v/>
      </c>
      <c r="O22" s="10">
        <f>IF($B22="","",IF(AND($U22="파견중",$Q22&lt;&gt;""),IF($R22&lt;&gt;"",$R22,"파견과 미입력"),IF(AND($AD22&lt;&gt;"",LEFT($AD22,1)&lt;&gt;"⚠"),MID($AD22,FIND(" ",$AD22)+1,60),IF($F22="","",IF($F22="인턴","수련교육부(인턴)",$F22)))))</f>
        <v/>
      </c>
      <c r="P22" s="10">
        <f>IF($B22="","",IF($AK22&lt;&gt;"",IF(AND(TODAY()&gt;=INDEX(파견수련계획!$AB$4:$AB$83,$AK22),OR(NOT(ISNUMBER(INDEX(파견수련계획!$AC$4:$AC$83,$AK22))),TODAY()&lt;=INDEX(파견수련계획!$AC$4:$AC$83,$AK22))),"다기관",IF($AF22="","",INDEX(파견수련계획!$T$4:$T$83,$AF22))),IF($AF22="","",INDEX(파견수련계획!$T$4:$T$83,$AF22))))</f>
        <v/>
      </c>
      <c r="Q22" s="10">
        <f>IF($AF22="","",INDEX(파견수련계획!$S$4:$S$83,$AF22))</f>
        <v/>
      </c>
      <c r="R22" s="10">
        <f>IF($AF22="","",INDEX(파견수련계획!$U$4:$U$83,$AF22))</f>
        <v/>
      </c>
      <c r="S22" s="11">
        <f>IF($AF22="","",IF(INDEX(파견수련계획!$H$4:$H$83,$AF22)="","",INDEX(파견수련계획!$H$4:$H$83,$AF22)))</f>
        <v/>
      </c>
      <c r="T22" s="11">
        <f>IF($AF22="","",IF(INDEX(파견수련계획!$I$4:$I$83,$AF22)="","",INDEX(파견수련계획!$I$4:$I$83,$AF22)))</f>
        <v/>
      </c>
      <c r="U22" s="10">
        <f>IF($AF22="","",INDEX(파견수련계획!$X$4:$X$83,$AF22))</f>
        <v/>
      </c>
      <c r="V22" s="17">
        <f>IF($AF22="","",INDEX(파견수련계획!$V$4:$V$83,$AF22))</f>
        <v/>
      </c>
      <c r="W22" s="17">
        <f>IF(AND($U22="파견중",$T22&lt;&gt;""),$T22-TODAY(),"")</f>
        <v/>
      </c>
      <c r="X22" s="17">
        <f>IF(OR($B22="",TRIM($J22&amp;"")=""),"",SUMPRODUCT((파견수련계획!$Q$4:$Q$83=TRIM($J22&amp;""))*파견수련계획!$W$4:$W$83))</f>
        <v/>
      </c>
      <c r="Y22" s="10">
        <f>IF($B22="","",IF($AG22="","",IF(IF(TRIM($J22&amp;"")="",0,SUMPRODUCT((파견수련계획!$Q$4:$Q$83=TRIM($J22&amp;""))*파견수련계획!$AD$4:$AD$83))&gt;0,$AE22,IF(N($X22)&lt;=0,$AG22,IF($AH22+$AI22=DAY(EOMONTH(요약!$B$3,0)),IF(AND($AH22&gt;=요약!$E$3,$AI22&lt;요약!$E$3),"서울병원",IF(AND($AI22&gt;=요약!$E$3,$AH22&lt;요약!$E$3),"구리병원","⚠15일 판정불가(서울 "&amp;$AH22&amp;"일/구리 "&amp;$AI22&amp;"일)")),IF($AJ22="",$AE22,IF(INDEX(파견수련계획!$T$4:$T$83,$AJ22)="통합수련",INDEX(파견수련계획!$S$4:$S$83,$AJ22),$AE22)))))))</f>
        <v/>
      </c>
      <c r="Z22" s="19">
        <f>IF($B22="","",IF($AB22="","기본자료에 없는 사번",IF(COUNTIF($B$2:$B$61,$B22)&gt;1,"중복 사번",IF($AE22="","소속(입사장소) 입력",IF(IF(TRIM($J22&amp;"")="",0,SUMPRODUCT((파견수련계획!$Q$4:$Q$83=TRIM($J22&amp;""))*(파견수련계획!$AA$4:$AA$83&lt;&gt;"")))&gt;0,"파견수련계획 입력오류 확인",IF(LEFT($Y22,1)="⚠","서울·구리 15일 판정 불가(양쪽 모두 이상/미만)",IF(IF($AC22="",0,N(INDEX(인턴근무계획!$T$3:$T$62,$AC22)))&gt;0,"인턴계획 입력오류 확인",IF(AND($AC22&lt;&gt;"",$U22&lt;&gt;"파견중",$N22&lt;&gt;$AE22),"인턴 타지역 근무: 파견 여부 확인","정상"))))))))</f>
        <v/>
      </c>
      <c r="AA22" s="5" t="n"/>
      <c r="AB22" s="10">
        <f>IF($B22="","",IFERROR(MATCH($B22,기본자료!$B$2:$B$301,0),IFERROR(MATCH($B22&amp;"",기본자료!$B$2:$B$301,0),IFERROR(MATCH(VALUE($B22),기본자료!$B$2:$B$301,0),""))))</f>
        <v/>
      </c>
      <c r="AC22" s="10">
        <f>IF($B22="","",IFERROR(MATCH($B22,인턴근무계획!$D$3:$D$62,0),IFERROR(MATCH($B22&amp;"",인턴근무계획!$D$3:$D$62,0),IFERROR(MATCH(VALUE($B22),인턴근무계획!$D$3:$D$62,0),""))))</f>
        <v/>
      </c>
      <c r="AD22" s="10">
        <f>IF(OR($AC22="",인턴현황!$G$3=""),"",INDEX(인턴근무계획!$M$3:$R$62,$AC22,인턴현황!$G$3)&amp;"")</f>
        <v/>
      </c>
      <c r="AE22" s="10">
        <f>IF($B22="","",IF($M22&lt;&gt;"",$M22,IF($AF22&lt;&gt;"",IF(LEFT(INDEX(파견수련계획!$R$4:$R$83,$AF22),1)&lt;&gt;"⚠",INDEX(파견수련계획!$R$4:$R$83,$AF22),IF($H22="","",IF(RIGHT($H22,2)="병원",$H22,$H22&amp;"병원"))),IF($H22="","",IF(RIGHT($H22,2)="병원",$H22,$H22&amp;"병원")))))</f>
        <v/>
      </c>
      <c r="AF22" s="10">
        <f>IF(OR($B22="",TRIM($J22&amp;"")=""),"",IFERROR(MATCH(TRIM($J22&amp;"")&amp;"|파견중",파견수련계획!$Y$4:$Y$83,0),IFERROR(MATCH(TRIM($J22&amp;"")&amp;"|파견예정",파견수련계획!$Y$4:$Y$83,0),IFERROR(MATCH(TRIM($J22&amp;"")&amp;"|파견종료",파견수련계획!$Y$4:$Y$83,0),""))))</f>
        <v/>
      </c>
      <c r="AG22" s="10">
        <f>IF($B22="","",IF(AND(IF(OR($AC22="",인턴현황!$K$2=""),"",INDEX(인턴근무계획!$M$3:$R$62,$AC22,인턴현황!$K$2)&amp;"")&lt;&gt;"",LEFT(IF(OR($AC22="",인턴현황!$K$2=""),"",INDEX(인턴근무계획!$M$3:$R$62,$AC22,인턴현황!$K$2)&amp;""),1)&lt;&gt;"⚠"),LEFT(IF(OR($AC22="",인턴현황!$K$2=""),"",INDEX(인턴근무계획!$M$3:$R$62,$AC22,인턴현황!$K$2)&amp;""),FIND(" ",IF(OR($AC22="",인턴현황!$K$2=""),"",INDEX(인턴근무계획!$M$3:$R$62,$AC22,인턴현황!$K$2)&amp;""))-1),$AE22))</f>
        <v/>
      </c>
      <c r="AH22" s="17">
        <f>IF($B22="","",IF(TRIM($J22&amp;"")="",0,SUMPRODUCT((파견수련계획!$Q$4:$Q$83=TRIM($J22&amp;""))*(파견수련계획!$S$4:$S$83="서울병원")*파견수련계획!$W$4:$W$83))+IF($AG22="서울병원",MAX(0,DAY(EOMONTH(요약!$B$3,0))-N($X22)),0))</f>
        <v/>
      </c>
      <c r="AI22" s="17">
        <f>IF($B22="","",IF(TRIM($J22&amp;"")="",0,SUMPRODUCT((파견수련계획!$Q$4:$Q$83=TRIM($J22&amp;""))*(파견수련계획!$S$4:$S$83="구리병원")*파견수련계획!$W$4:$W$83))+IF($AG22="구리병원",MAX(0,DAY(EOMONTH(요약!$B$3,0))-N($X22)),0))</f>
        <v/>
      </c>
      <c r="AJ22" s="10">
        <f>IF(OR($B22="",TRIM($J22&amp;"")=""),"",IFERROR(MATCH(TRIM($J22&amp;"")&amp;"|월",파견수련계획!$Z$4:$Z$83,0),""))</f>
        <v/>
      </c>
      <c r="AK22" s="10">
        <f>IF(OR($B22="",TRIM($J22&amp;"")=""),"",IFERROR(MATCH(TRIM($J22&amp;"")&amp;"|다기관",파견수련계획!$AE$4:$AE$83,0),""))</f>
        <v/>
      </c>
      <c r="AL22" s="10">
        <f>IF($AK22="","","다기관 "&amp;TEXT(INDEX(파견수련계획!$AB$4:$AB$83,$AK22),"yyyy-mm-dd")&amp;"~"&amp;IF(ISNUMBER(INDEX(파견수련계획!$AC$4:$AC$83,$AK22)),TEXT(INDEX(파견수련계획!$AC$4:$AC$83,$AK22),"yyyy-mm-dd"),""))</f>
        <v/>
      </c>
    </row>
    <row r="23">
      <c r="A23" s="10">
        <f>IF(B23="","",ROW()-1)</f>
        <v/>
      </c>
      <c r="B23" s="18" t="n"/>
      <c r="C23" s="10">
        <f>IF($AB23="","",IF(INDEX(기본자료!$C$2:$C$301,$AB23)="","",INDEX(기본자료!$C$2:$C$301,$AB23)))</f>
        <v/>
      </c>
      <c r="D23" s="10">
        <f>IF($AB23="","",IF(INDEX(기본자료!$J$2:$J$301,$AB23)="","",INDEX(기본자료!$J$2:$J$301,$AB23)))</f>
        <v/>
      </c>
      <c r="E23" s="11">
        <f>IF($AB23="","",IF(INDEX(기본자료!$K$2:$K$301,$AB23)="","",IF(NOT(ISNUMBER(INDEX(기본자료!$K$2:$K$301,$AB23))),INDEX(기본자료!$K$2:$K$301,$AB23),IF(INDEX(기본자료!$K$2:$K$301,$AB23)&lt;1000000,INDEX(기본자료!$K$2:$K$301,$AB23),IF(AND(INDEX(기본자료!$K$2:$K$301,$AB23)&gt;=10000101,INT(MOD(INDEX(기본자료!$K$2:$K$301,$AB23),10000)/100)&gt;=1,INT(MOD(INDEX(기본자료!$K$2:$K$301,$AB23),10000)/100)&lt;=12,MOD(INDEX(기본자료!$K$2:$K$301,$AB23),100)&gt;=1,MOD(INDEX(기본자료!$K$2:$K$301,$AB23),100)&lt;=31),DATE(INT(INDEX(기본자료!$K$2:$K$301,$AB23)/10000),INT(MOD(INDEX(기본자료!$K$2:$K$301,$AB23),10000)/100),MOD(INDEX(기본자료!$K$2:$K$301,$AB23),100)),INDEX(기본자료!$K$2:$K$301,$AB23)&amp;"")))))</f>
        <v/>
      </c>
      <c r="F23" s="10">
        <f>IF($AB23="","",IF(INDEX(기본자료!$D$2:$D$301,$AB23)="","",INDEX(기본자료!$D$2:$D$301,$AB23)))</f>
        <v/>
      </c>
      <c r="G23" s="10">
        <f>IF($AB23="","",IF(INDEX(기본자료!$E$2:$E$301,$AB23)="","",INDEX(기본자료!$E$2:$E$301,$AB23)))</f>
        <v/>
      </c>
      <c r="H23" s="10">
        <f>IF($AB23="","",IF(INDEX(기본자료!$F$2:$F$301,$AB23)="","",INDEX(기본자료!$F$2:$F$301,$AB23)))</f>
        <v/>
      </c>
      <c r="I23" s="11">
        <f>IF($AB23="","",IF(INDEX(기본자료!$G$2:$G$301,$AB23)="","",IF(NOT(ISNUMBER(INDEX(기본자료!$G$2:$G$301,$AB23))),INDEX(기본자료!$G$2:$G$301,$AB23),IF(INDEX(기본자료!$G$2:$G$301,$AB23)&lt;1000000,INDEX(기본자료!$G$2:$G$301,$AB23),IF(AND(INDEX(기본자료!$G$2:$G$301,$AB23)&gt;=10000101,INT(MOD(INDEX(기본자료!$G$2:$G$301,$AB23),10000)/100)&gt;=1,INT(MOD(INDEX(기본자료!$G$2:$G$301,$AB23),10000)/100)&lt;=12,MOD(INDEX(기본자료!$G$2:$G$301,$AB23),100)&gt;=1,MOD(INDEX(기본자료!$G$2:$G$301,$AB23),100)&lt;=31),DATE(INT(INDEX(기본자료!$G$2:$G$301,$AB23)/10000),INT(MOD(INDEX(기본자료!$G$2:$G$301,$AB23),10000)/100),MOD(INDEX(기본자료!$G$2:$G$301,$AB23),100)),INDEX(기본자료!$G$2:$G$301,$AB23)&amp;"")))))</f>
        <v/>
      </c>
      <c r="J23" s="10">
        <f>IF($AB23="","",IF(INDEX(기본자료!$H$2:$H$301,$AB23)="","",INDEX(기본자료!$H$2:$H$301,$AB23)))</f>
        <v/>
      </c>
      <c r="K23" s="10">
        <f>IF($AB23="","",IF(INDEX(기본자료!$I$2:$I$301,$AB23)="","",INDEX(기본자료!$I$2:$I$301,$AB23)))</f>
        <v/>
      </c>
      <c r="L23" s="10">
        <f>IF($AB23="","",IF(INDEX(기본자료!$A$2:$A$301,$AB23)="","",INDEX(기본자료!$A$2:$A$301,$AB23)))</f>
        <v/>
      </c>
      <c r="M23" s="15" t="n"/>
      <c r="N23" s="10">
        <f>IF($B23="","",IF(AND($U23="파견중",$Q23&lt;&gt;""),$Q23,IF(AND($AD23&lt;&gt;"",LEFT($AD23,1)&lt;&gt;"⚠"),LEFT($AD23,FIND(" ",$AD23)-1),IF($H23="","",IF(RIGHT($H23,2)="병원",$H23,$H23&amp;"병원")))))</f>
        <v/>
      </c>
      <c r="O23" s="10">
        <f>IF($B23="","",IF(AND($U23="파견중",$Q23&lt;&gt;""),IF($R23&lt;&gt;"",$R23,"파견과 미입력"),IF(AND($AD23&lt;&gt;"",LEFT($AD23,1)&lt;&gt;"⚠"),MID($AD23,FIND(" ",$AD23)+1,60),IF($F23="","",IF($F23="인턴","수련교육부(인턴)",$F23)))))</f>
        <v/>
      </c>
      <c r="P23" s="10">
        <f>IF($B23="","",IF($AK23&lt;&gt;"",IF(AND(TODAY()&gt;=INDEX(파견수련계획!$AB$4:$AB$83,$AK23),OR(NOT(ISNUMBER(INDEX(파견수련계획!$AC$4:$AC$83,$AK23))),TODAY()&lt;=INDEX(파견수련계획!$AC$4:$AC$83,$AK23))),"다기관",IF($AF23="","",INDEX(파견수련계획!$T$4:$T$83,$AF23))),IF($AF23="","",INDEX(파견수련계획!$T$4:$T$83,$AF23))))</f>
        <v/>
      </c>
      <c r="Q23" s="10">
        <f>IF($AF23="","",INDEX(파견수련계획!$S$4:$S$83,$AF23))</f>
        <v/>
      </c>
      <c r="R23" s="10">
        <f>IF($AF23="","",INDEX(파견수련계획!$U$4:$U$83,$AF23))</f>
        <v/>
      </c>
      <c r="S23" s="11">
        <f>IF($AF23="","",IF(INDEX(파견수련계획!$H$4:$H$83,$AF23)="","",INDEX(파견수련계획!$H$4:$H$83,$AF23)))</f>
        <v/>
      </c>
      <c r="T23" s="11">
        <f>IF($AF23="","",IF(INDEX(파견수련계획!$I$4:$I$83,$AF23)="","",INDEX(파견수련계획!$I$4:$I$83,$AF23)))</f>
        <v/>
      </c>
      <c r="U23" s="10">
        <f>IF($AF23="","",INDEX(파견수련계획!$X$4:$X$83,$AF23))</f>
        <v/>
      </c>
      <c r="V23" s="17">
        <f>IF($AF23="","",INDEX(파견수련계획!$V$4:$V$83,$AF23))</f>
        <v/>
      </c>
      <c r="W23" s="17">
        <f>IF(AND($U23="파견중",$T23&lt;&gt;""),$T23-TODAY(),"")</f>
        <v/>
      </c>
      <c r="X23" s="17">
        <f>IF(OR($B23="",TRIM($J23&amp;"")=""),"",SUMPRODUCT((파견수련계획!$Q$4:$Q$83=TRIM($J23&amp;""))*파견수련계획!$W$4:$W$83))</f>
        <v/>
      </c>
      <c r="Y23" s="10">
        <f>IF($B23="","",IF($AG23="","",IF(IF(TRIM($J23&amp;"")="",0,SUMPRODUCT((파견수련계획!$Q$4:$Q$83=TRIM($J23&amp;""))*파견수련계획!$AD$4:$AD$83))&gt;0,$AE23,IF(N($X23)&lt;=0,$AG23,IF($AH23+$AI23=DAY(EOMONTH(요약!$B$3,0)),IF(AND($AH23&gt;=요약!$E$3,$AI23&lt;요약!$E$3),"서울병원",IF(AND($AI23&gt;=요약!$E$3,$AH23&lt;요약!$E$3),"구리병원","⚠15일 판정불가(서울 "&amp;$AH23&amp;"일/구리 "&amp;$AI23&amp;"일)")),IF($AJ23="",$AE23,IF(INDEX(파견수련계획!$T$4:$T$83,$AJ23)="통합수련",INDEX(파견수련계획!$S$4:$S$83,$AJ23),$AE23)))))))</f>
        <v/>
      </c>
      <c r="Z23" s="19">
        <f>IF($B23="","",IF($AB23="","기본자료에 없는 사번",IF(COUNTIF($B$2:$B$61,$B23)&gt;1,"중복 사번",IF($AE23="","소속(입사장소) 입력",IF(IF(TRIM($J23&amp;"")="",0,SUMPRODUCT((파견수련계획!$Q$4:$Q$83=TRIM($J23&amp;""))*(파견수련계획!$AA$4:$AA$83&lt;&gt;"")))&gt;0,"파견수련계획 입력오류 확인",IF(LEFT($Y23,1)="⚠","서울·구리 15일 판정 불가(양쪽 모두 이상/미만)",IF(IF($AC23="",0,N(INDEX(인턴근무계획!$T$3:$T$62,$AC23)))&gt;0,"인턴계획 입력오류 확인",IF(AND($AC23&lt;&gt;"",$U23&lt;&gt;"파견중",$N23&lt;&gt;$AE23),"인턴 타지역 근무: 파견 여부 확인","정상"))))))))</f>
        <v/>
      </c>
      <c r="AA23" s="5" t="n"/>
      <c r="AB23" s="10">
        <f>IF($B23="","",IFERROR(MATCH($B23,기본자료!$B$2:$B$301,0),IFERROR(MATCH($B23&amp;"",기본자료!$B$2:$B$301,0),IFERROR(MATCH(VALUE($B23),기본자료!$B$2:$B$301,0),""))))</f>
        <v/>
      </c>
      <c r="AC23" s="10">
        <f>IF($B23="","",IFERROR(MATCH($B23,인턴근무계획!$D$3:$D$62,0),IFERROR(MATCH($B23&amp;"",인턴근무계획!$D$3:$D$62,0),IFERROR(MATCH(VALUE($B23),인턴근무계획!$D$3:$D$62,0),""))))</f>
        <v/>
      </c>
      <c r="AD23" s="10">
        <f>IF(OR($AC23="",인턴현황!$G$3=""),"",INDEX(인턴근무계획!$M$3:$R$62,$AC23,인턴현황!$G$3)&amp;"")</f>
        <v/>
      </c>
      <c r="AE23" s="10">
        <f>IF($B23="","",IF($M23&lt;&gt;"",$M23,IF($AF23&lt;&gt;"",IF(LEFT(INDEX(파견수련계획!$R$4:$R$83,$AF23),1)&lt;&gt;"⚠",INDEX(파견수련계획!$R$4:$R$83,$AF23),IF($H23="","",IF(RIGHT($H23,2)="병원",$H23,$H23&amp;"병원"))),IF($H23="","",IF(RIGHT($H23,2)="병원",$H23,$H23&amp;"병원")))))</f>
        <v/>
      </c>
      <c r="AF23" s="10">
        <f>IF(OR($B23="",TRIM($J23&amp;"")=""),"",IFERROR(MATCH(TRIM($J23&amp;"")&amp;"|파견중",파견수련계획!$Y$4:$Y$83,0),IFERROR(MATCH(TRIM($J23&amp;"")&amp;"|파견예정",파견수련계획!$Y$4:$Y$83,0),IFERROR(MATCH(TRIM($J23&amp;"")&amp;"|파견종료",파견수련계획!$Y$4:$Y$83,0),""))))</f>
        <v/>
      </c>
      <c r="AG23" s="10">
        <f>IF($B23="","",IF(AND(IF(OR($AC23="",인턴현황!$K$2=""),"",INDEX(인턴근무계획!$M$3:$R$62,$AC23,인턴현황!$K$2)&amp;"")&lt;&gt;"",LEFT(IF(OR($AC23="",인턴현황!$K$2=""),"",INDEX(인턴근무계획!$M$3:$R$62,$AC23,인턴현황!$K$2)&amp;""),1)&lt;&gt;"⚠"),LEFT(IF(OR($AC23="",인턴현황!$K$2=""),"",INDEX(인턴근무계획!$M$3:$R$62,$AC23,인턴현황!$K$2)&amp;""),FIND(" ",IF(OR($AC23="",인턴현황!$K$2=""),"",INDEX(인턴근무계획!$M$3:$R$62,$AC23,인턴현황!$K$2)&amp;""))-1),$AE23))</f>
        <v/>
      </c>
      <c r="AH23" s="17">
        <f>IF($B23="","",IF(TRIM($J23&amp;"")="",0,SUMPRODUCT((파견수련계획!$Q$4:$Q$83=TRIM($J23&amp;""))*(파견수련계획!$S$4:$S$83="서울병원")*파견수련계획!$W$4:$W$83))+IF($AG23="서울병원",MAX(0,DAY(EOMONTH(요약!$B$3,0))-N($X23)),0))</f>
        <v/>
      </c>
      <c r="AI23" s="17">
        <f>IF($B23="","",IF(TRIM($J23&amp;"")="",0,SUMPRODUCT((파견수련계획!$Q$4:$Q$83=TRIM($J23&amp;""))*(파견수련계획!$S$4:$S$83="구리병원")*파견수련계획!$W$4:$W$83))+IF($AG23="구리병원",MAX(0,DAY(EOMONTH(요약!$B$3,0))-N($X23)),0))</f>
        <v/>
      </c>
      <c r="AJ23" s="10">
        <f>IF(OR($B23="",TRIM($J23&amp;"")=""),"",IFERROR(MATCH(TRIM($J23&amp;"")&amp;"|월",파견수련계획!$Z$4:$Z$83,0),""))</f>
        <v/>
      </c>
      <c r="AK23" s="10">
        <f>IF(OR($B23="",TRIM($J23&amp;"")=""),"",IFERROR(MATCH(TRIM($J23&amp;"")&amp;"|다기관",파견수련계획!$AE$4:$AE$83,0),""))</f>
        <v/>
      </c>
      <c r="AL23" s="10">
        <f>IF($AK23="","","다기관 "&amp;TEXT(INDEX(파견수련계획!$AB$4:$AB$83,$AK23),"yyyy-mm-dd")&amp;"~"&amp;IF(ISNUMBER(INDEX(파견수련계획!$AC$4:$AC$83,$AK23)),TEXT(INDEX(파견수련계획!$AC$4:$AC$83,$AK23),"yyyy-mm-dd"),""))</f>
        <v/>
      </c>
    </row>
    <row r="24">
      <c r="A24" s="10">
        <f>IF(B24="","",ROW()-1)</f>
        <v/>
      </c>
      <c r="B24" s="18" t="n"/>
      <c r="C24" s="10">
        <f>IF($AB24="","",IF(INDEX(기본자료!$C$2:$C$301,$AB24)="","",INDEX(기본자료!$C$2:$C$301,$AB24)))</f>
        <v/>
      </c>
      <c r="D24" s="10">
        <f>IF($AB24="","",IF(INDEX(기본자료!$J$2:$J$301,$AB24)="","",INDEX(기본자료!$J$2:$J$301,$AB24)))</f>
        <v/>
      </c>
      <c r="E24" s="11">
        <f>IF($AB24="","",IF(INDEX(기본자료!$K$2:$K$301,$AB24)="","",IF(NOT(ISNUMBER(INDEX(기본자료!$K$2:$K$301,$AB24))),INDEX(기본자료!$K$2:$K$301,$AB24),IF(INDEX(기본자료!$K$2:$K$301,$AB24)&lt;1000000,INDEX(기본자료!$K$2:$K$301,$AB24),IF(AND(INDEX(기본자료!$K$2:$K$301,$AB24)&gt;=10000101,INT(MOD(INDEX(기본자료!$K$2:$K$301,$AB24),10000)/100)&gt;=1,INT(MOD(INDEX(기본자료!$K$2:$K$301,$AB24),10000)/100)&lt;=12,MOD(INDEX(기본자료!$K$2:$K$301,$AB24),100)&gt;=1,MOD(INDEX(기본자료!$K$2:$K$301,$AB24),100)&lt;=31),DATE(INT(INDEX(기본자료!$K$2:$K$301,$AB24)/10000),INT(MOD(INDEX(기본자료!$K$2:$K$301,$AB24),10000)/100),MOD(INDEX(기본자료!$K$2:$K$301,$AB24),100)),INDEX(기본자료!$K$2:$K$301,$AB24)&amp;"")))))</f>
        <v/>
      </c>
      <c r="F24" s="10">
        <f>IF($AB24="","",IF(INDEX(기본자료!$D$2:$D$301,$AB24)="","",INDEX(기본자료!$D$2:$D$301,$AB24)))</f>
        <v/>
      </c>
      <c r="G24" s="10">
        <f>IF($AB24="","",IF(INDEX(기본자료!$E$2:$E$301,$AB24)="","",INDEX(기본자료!$E$2:$E$301,$AB24)))</f>
        <v/>
      </c>
      <c r="H24" s="10">
        <f>IF($AB24="","",IF(INDEX(기본자료!$F$2:$F$301,$AB24)="","",INDEX(기본자료!$F$2:$F$301,$AB24)))</f>
        <v/>
      </c>
      <c r="I24" s="11">
        <f>IF($AB24="","",IF(INDEX(기본자료!$G$2:$G$301,$AB24)="","",IF(NOT(ISNUMBER(INDEX(기본자료!$G$2:$G$301,$AB24))),INDEX(기본자료!$G$2:$G$301,$AB24),IF(INDEX(기본자료!$G$2:$G$301,$AB24)&lt;1000000,INDEX(기본자료!$G$2:$G$301,$AB24),IF(AND(INDEX(기본자료!$G$2:$G$301,$AB24)&gt;=10000101,INT(MOD(INDEX(기본자료!$G$2:$G$301,$AB24),10000)/100)&gt;=1,INT(MOD(INDEX(기본자료!$G$2:$G$301,$AB24),10000)/100)&lt;=12,MOD(INDEX(기본자료!$G$2:$G$301,$AB24),100)&gt;=1,MOD(INDEX(기본자료!$G$2:$G$301,$AB24),100)&lt;=31),DATE(INT(INDEX(기본자료!$G$2:$G$301,$AB24)/10000),INT(MOD(INDEX(기본자료!$G$2:$G$301,$AB24),10000)/100),MOD(INDEX(기본자료!$G$2:$G$301,$AB24),100)),INDEX(기본자료!$G$2:$G$301,$AB24)&amp;"")))))</f>
        <v/>
      </c>
      <c r="J24" s="10">
        <f>IF($AB24="","",IF(INDEX(기본자료!$H$2:$H$301,$AB24)="","",INDEX(기본자료!$H$2:$H$301,$AB24)))</f>
        <v/>
      </c>
      <c r="K24" s="10">
        <f>IF($AB24="","",IF(INDEX(기본자료!$I$2:$I$301,$AB24)="","",INDEX(기본자료!$I$2:$I$301,$AB24)))</f>
        <v/>
      </c>
      <c r="L24" s="10">
        <f>IF($AB24="","",IF(INDEX(기본자료!$A$2:$A$301,$AB24)="","",INDEX(기본자료!$A$2:$A$301,$AB24)))</f>
        <v/>
      </c>
      <c r="M24" s="15" t="n"/>
      <c r="N24" s="10">
        <f>IF($B24="","",IF(AND($U24="파견중",$Q24&lt;&gt;""),$Q24,IF(AND($AD24&lt;&gt;"",LEFT($AD24,1)&lt;&gt;"⚠"),LEFT($AD24,FIND(" ",$AD24)-1),IF($H24="","",IF(RIGHT($H24,2)="병원",$H24,$H24&amp;"병원")))))</f>
        <v/>
      </c>
      <c r="O24" s="10">
        <f>IF($B24="","",IF(AND($U24="파견중",$Q24&lt;&gt;""),IF($R24&lt;&gt;"",$R24,"파견과 미입력"),IF(AND($AD24&lt;&gt;"",LEFT($AD24,1)&lt;&gt;"⚠"),MID($AD24,FIND(" ",$AD24)+1,60),IF($F24="","",IF($F24="인턴","수련교육부(인턴)",$F24)))))</f>
        <v/>
      </c>
      <c r="P24" s="10">
        <f>IF($B24="","",IF($AK24&lt;&gt;"",IF(AND(TODAY()&gt;=INDEX(파견수련계획!$AB$4:$AB$83,$AK24),OR(NOT(ISNUMBER(INDEX(파견수련계획!$AC$4:$AC$83,$AK24))),TODAY()&lt;=INDEX(파견수련계획!$AC$4:$AC$83,$AK24))),"다기관",IF($AF24="","",INDEX(파견수련계획!$T$4:$T$83,$AF24))),IF($AF24="","",INDEX(파견수련계획!$T$4:$T$83,$AF24))))</f>
        <v/>
      </c>
      <c r="Q24" s="10">
        <f>IF($AF24="","",INDEX(파견수련계획!$S$4:$S$83,$AF24))</f>
        <v/>
      </c>
      <c r="R24" s="10">
        <f>IF($AF24="","",INDEX(파견수련계획!$U$4:$U$83,$AF24))</f>
        <v/>
      </c>
      <c r="S24" s="11">
        <f>IF($AF24="","",IF(INDEX(파견수련계획!$H$4:$H$83,$AF24)="","",INDEX(파견수련계획!$H$4:$H$83,$AF24)))</f>
        <v/>
      </c>
      <c r="T24" s="11">
        <f>IF($AF24="","",IF(INDEX(파견수련계획!$I$4:$I$83,$AF24)="","",INDEX(파견수련계획!$I$4:$I$83,$AF24)))</f>
        <v/>
      </c>
      <c r="U24" s="10">
        <f>IF($AF24="","",INDEX(파견수련계획!$X$4:$X$83,$AF24))</f>
        <v/>
      </c>
      <c r="V24" s="17">
        <f>IF($AF24="","",INDEX(파견수련계획!$V$4:$V$83,$AF24))</f>
        <v/>
      </c>
      <c r="W24" s="17">
        <f>IF(AND($U24="파견중",$T24&lt;&gt;""),$T24-TODAY(),"")</f>
        <v/>
      </c>
      <c r="X24" s="17">
        <f>IF(OR($B24="",TRIM($J24&amp;"")=""),"",SUMPRODUCT((파견수련계획!$Q$4:$Q$83=TRIM($J24&amp;""))*파견수련계획!$W$4:$W$83))</f>
        <v/>
      </c>
      <c r="Y24" s="10">
        <f>IF($B24="","",IF($AG24="","",IF(IF(TRIM($J24&amp;"")="",0,SUMPRODUCT((파견수련계획!$Q$4:$Q$83=TRIM($J24&amp;""))*파견수련계획!$AD$4:$AD$83))&gt;0,$AE24,IF(N($X24)&lt;=0,$AG24,IF($AH24+$AI24=DAY(EOMONTH(요약!$B$3,0)),IF(AND($AH24&gt;=요약!$E$3,$AI24&lt;요약!$E$3),"서울병원",IF(AND($AI24&gt;=요약!$E$3,$AH24&lt;요약!$E$3),"구리병원","⚠15일 판정불가(서울 "&amp;$AH24&amp;"일/구리 "&amp;$AI24&amp;"일)")),IF($AJ24="",$AE24,IF(INDEX(파견수련계획!$T$4:$T$83,$AJ24)="통합수련",INDEX(파견수련계획!$S$4:$S$83,$AJ24),$AE24)))))))</f>
        <v/>
      </c>
      <c r="Z24" s="19">
        <f>IF($B24="","",IF($AB24="","기본자료에 없는 사번",IF(COUNTIF($B$2:$B$61,$B24)&gt;1,"중복 사번",IF($AE24="","소속(입사장소) 입력",IF(IF(TRIM($J24&amp;"")="",0,SUMPRODUCT((파견수련계획!$Q$4:$Q$83=TRIM($J24&amp;""))*(파견수련계획!$AA$4:$AA$83&lt;&gt;"")))&gt;0,"파견수련계획 입력오류 확인",IF(LEFT($Y24,1)="⚠","서울·구리 15일 판정 불가(양쪽 모두 이상/미만)",IF(IF($AC24="",0,N(INDEX(인턴근무계획!$T$3:$T$62,$AC24)))&gt;0,"인턴계획 입력오류 확인",IF(AND($AC24&lt;&gt;"",$U24&lt;&gt;"파견중",$N24&lt;&gt;$AE24),"인턴 타지역 근무: 파견 여부 확인","정상"))))))))</f>
        <v/>
      </c>
      <c r="AA24" s="5" t="n"/>
      <c r="AB24" s="10">
        <f>IF($B24="","",IFERROR(MATCH($B24,기본자료!$B$2:$B$301,0),IFERROR(MATCH($B24&amp;"",기본자료!$B$2:$B$301,0),IFERROR(MATCH(VALUE($B24),기본자료!$B$2:$B$301,0),""))))</f>
        <v/>
      </c>
      <c r="AC24" s="10">
        <f>IF($B24="","",IFERROR(MATCH($B24,인턴근무계획!$D$3:$D$62,0),IFERROR(MATCH($B24&amp;"",인턴근무계획!$D$3:$D$62,0),IFERROR(MATCH(VALUE($B24),인턴근무계획!$D$3:$D$62,0),""))))</f>
        <v/>
      </c>
      <c r="AD24" s="10">
        <f>IF(OR($AC24="",인턴현황!$G$3=""),"",INDEX(인턴근무계획!$M$3:$R$62,$AC24,인턴현황!$G$3)&amp;"")</f>
        <v/>
      </c>
      <c r="AE24" s="10">
        <f>IF($B24="","",IF($M24&lt;&gt;"",$M24,IF($AF24&lt;&gt;"",IF(LEFT(INDEX(파견수련계획!$R$4:$R$83,$AF24),1)&lt;&gt;"⚠",INDEX(파견수련계획!$R$4:$R$83,$AF24),IF($H24="","",IF(RIGHT($H24,2)="병원",$H24,$H24&amp;"병원"))),IF($H24="","",IF(RIGHT($H24,2)="병원",$H24,$H24&amp;"병원")))))</f>
        <v/>
      </c>
      <c r="AF24" s="10">
        <f>IF(OR($B24="",TRIM($J24&amp;"")=""),"",IFERROR(MATCH(TRIM($J24&amp;"")&amp;"|파견중",파견수련계획!$Y$4:$Y$83,0),IFERROR(MATCH(TRIM($J24&amp;"")&amp;"|파견예정",파견수련계획!$Y$4:$Y$83,0),IFERROR(MATCH(TRIM($J24&amp;"")&amp;"|파견종료",파견수련계획!$Y$4:$Y$83,0),""))))</f>
        <v/>
      </c>
      <c r="AG24" s="10">
        <f>IF($B24="","",IF(AND(IF(OR($AC24="",인턴현황!$K$2=""),"",INDEX(인턴근무계획!$M$3:$R$62,$AC24,인턴현황!$K$2)&amp;"")&lt;&gt;"",LEFT(IF(OR($AC24="",인턴현황!$K$2=""),"",INDEX(인턴근무계획!$M$3:$R$62,$AC24,인턴현황!$K$2)&amp;""),1)&lt;&gt;"⚠"),LEFT(IF(OR($AC24="",인턴현황!$K$2=""),"",INDEX(인턴근무계획!$M$3:$R$62,$AC24,인턴현황!$K$2)&amp;""),FIND(" ",IF(OR($AC24="",인턴현황!$K$2=""),"",INDEX(인턴근무계획!$M$3:$R$62,$AC24,인턴현황!$K$2)&amp;""))-1),$AE24))</f>
        <v/>
      </c>
      <c r="AH24" s="17">
        <f>IF($B24="","",IF(TRIM($J24&amp;"")="",0,SUMPRODUCT((파견수련계획!$Q$4:$Q$83=TRIM($J24&amp;""))*(파견수련계획!$S$4:$S$83="서울병원")*파견수련계획!$W$4:$W$83))+IF($AG24="서울병원",MAX(0,DAY(EOMONTH(요약!$B$3,0))-N($X24)),0))</f>
        <v/>
      </c>
      <c r="AI24" s="17">
        <f>IF($B24="","",IF(TRIM($J24&amp;"")="",0,SUMPRODUCT((파견수련계획!$Q$4:$Q$83=TRIM($J24&amp;""))*(파견수련계획!$S$4:$S$83="구리병원")*파견수련계획!$W$4:$W$83))+IF($AG24="구리병원",MAX(0,DAY(EOMONTH(요약!$B$3,0))-N($X24)),0))</f>
        <v/>
      </c>
      <c r="AJ24" s="10">
        <f>IF(OR($B24="",TRIM($J24&amp;"")=""),"",IFERROR(MATCH(TRIM($J24&amp;"")&amp;"|월",파견수련계획!$Z$4:$Z$83,0),""))</f>
        <v/>
      </c>
      <c r="AK24" s="10">
        <f>IF(OR($B24="",TRIM($J24&amp;"")=""),"",IFERROR(MATCH(TRIM($J24&amp;"")&amp;"|다기관",파견수련계획!$AE$4:$AE$83,0),""))</f>
        <v/>
      </c>
      <c r="AL24" s="10">
        <f>IF($AK24="","","다기관 "&amp;TEXT(INDEX(파견수련계획!$AB$4:$AB$83,$AK24),"yyyy-mm-dd")&amp;"~"&amp;IF(ISNUMBER(INDEX(파견수련계획!$AC$4:$AC$83,$AK24)),TEXT(INDEX(파견수련계획!$AC$4:$AC$83,$AK24),"yyyy-mm-dd"),""))</f>
        <v/>
      </c>
    </row>
    <row r="25">
      <c r="A25" s="10">
        <f>IF(B25="","",ROW()-1)</f>
        <v/>
      </c>
      <c r="B25" s="18" t="n"/>
      <c r="C25" s="10">
        <f>IF($AB25="","",IF(INDEX(기본자료!$C$2:$C$301,$AB25)="","",INDEX(기본자료!$C$2:$C$301,$AB25)))</f>
        <v/>
      </c>
      <c r="D25" s="10">
        <f>IF($AB25="","",IF(INDEX(기본자료!$J$2:$J$301,$AB25)="","",INDEX(기본자료!$J$2:$J$301,$AB25)))</f>
        <v/>
      </c>
      <c r="E25" s="11">
        <f>IF($AB25="","",IF(INDEX(기본자료!$K$2:$K$301,$AB25)="","",IF(NOT(ISNUMBER(INDEX(기본자료!$K$2:$K$301,$AB25))),INDEX(기본자료!$K$2:$K$301,$AB25),IF(INDEX(기본자료!$K$2:$K$301,$AB25)&lt;1000000,INDEX(기본자료!$K$2:$K$301,$AB25),IF(AND(INDEX(기본자료!$K$2:$K$301,$AB25)&gt;=10000101,INT(MOD(INDEX(기본자료!$K$2:$K$301,$AB25),10000)/100)&gt;=1,INT(MOD(INDEX(기본자료!$K$2:$K$301,$AB25),10000)/100)&lt;=12,MOD(INDEX(기본자료!$K$2:$K$301,$AB25),100)&gt;=1,MOD(INDEX(기본자료!$K$2:$K$301,$AB25),100)&lt;=31),DATE(INT(INDEX(기본자료!$K$2:$K$301,$AB25)/10000),INT(MOD(INDEX(기본자료!$K$2:$K$301,$AB25),10000)/100),MOD(INDEX(기본자료!$K$2:$K$301,$AB25),100)),INDEX(기본자료!$K$2:$K$301,$AB25)&amp;"")))))</f>
        <v/>
      </c>
      <c r="F25" s="10">
        <f>IF($AB25="","",IF(INDEX(기본자료!$D$2:$D$301,$AB25)="","",INDEX(기본자료!$D$2:$D$301,$AB25)))</f>
        <v/>
      </c>
      <c r="G25" s="10">
        <f>IF($AB25="","",IF(INDEX(기본자료!$E$2:$E$301,$AB25)="","",INDEX(기본자료!$E$2:$E$301,$AB25)))</f>
        <v/>
      </c>
      <c r="H25" s="10">
        <f>IF($AB25="","",IF(INDEX(기본자료!$F$2:$F$301,$AB25)="","",INDEX(기본자료!$F$2:$F$301,$AB25)))</f>
        <v/>
      </c>
      <c r="I25" s="11">
        <f>IF($AB25="","",IF(INDEX(기본자료!$G$2:$G$301,$AB25)="","",IF(NOT(ISNUMBER(INDEX(기본자료!$G$2:$G$301,$AB25))),INDEX(기본자료!$G$2:$G$301,$AB25),IF(INDEX(기본자료!$G$2:$G$301,$AB25)&lt;1000000,INDEX(기본자료!$G$2:$G$301,$AB25),IF(AND(INDEX(기본자료!$G$2:$G$301,$AB25)&gt;=10000101,INT(MOD(INDEX(기본자료!$G$2:$G$301,$AB25),10000)/100)&gt;=1,INT(MOD(INDEX(기본자료!$G$2:$G$301,$AB25),10000)/100)&lt;=12,MOD(INDEX(기본자료!$G$2:$G$301,$AB25),100)&gt;=1,MOD(INDEX(기본자료!$G$2:$G$301,$AB25),100)&lt;=31),DATE(INT(INDEX(기본자료!$G$2:$G$301,$AB25)/10000),INT(MOD(INDEX(기본자료!$G$2:$G$301,$AB25),10000)/100),MOD(INDEX(기본자료!$G$2:$G$301,$AB25),100)),INDEX(기본자료!$G$2:$G$301,$AB25)&amp;"")))))</f>
        <v/>
      </c>
      <c r="J25" s="10">
        <f>IF($AB25="","",IF(INDEX(기본자료!$H$2:$H$301,$AB25)="","",INDEX(기본자료!$H$2:$H$301,$AB25)))</f>
        <v/>
      </c>
      <c r="K25" s="10">
        <f>IF($AB25="","",IF(INDEX(기본자료!$I$2:$I$301,$AB25)="","",INDEX(기본자료!$I$2:$I$301,$AB25)))</f>
        <v/>
      </c>
      <c r="L25" s="10">
        <f>IF($AB25="","",IF(INDEX(기본자료!$A$2:$A$301,$AB25)="","",INDEX(기본자료!$A$2:$A$301,$AB25)))</f>
        <v/>
      </c>
      <c r="M25" s="15" t="n"/>
      <c r="N25" s="10">
        <f>IF($B25="","",IF(AND($U25="파견중",$Q25&lt;&gt;""),$Q25,IF(AND($AD25&lt;&gt;"",LEFT($AD25,1)&lt;&gt;"⚠"),LEFT($AD25,FIND(" ",$AD25)-1),IF($H25="","",IF(RIGHT($H25,2)="병원",$H25,$H25&amp;"병원")))))</f>
        <v/>
      </c>
      <c r="O25" s="10">
        <f>IF($B25="","",IF(AND($U25="파견중",$Q25&lt;&gt;""),IF($R25&lt;&gt;"",$R25,"파견과 미입력"),IF(AND($AD25&lt;&gt;"",LEFT($AD25,1)&lt;&gt;"⚠"),MID($AD25,FIND(" ",$AD25)+1,60),IF($F25="","",IF($F25="인턴","수련교육부(인턴)",$F25)))))</f>
        <v/>
      </c>
      <c r="P25" s="10">
        <f>IF($B25="","",IF($AK25&lt;&gt;"",IF(AND(TODAY()&gt;=INDEX(파견수련계획!$AB$4:$AB$83,$AK25),OR(NOT(ISNUMBER(INDEX(파견수련계획!$AC$4:$AC$83,$AK25))),TODAY()&lt;=INDEX(파견수련계획!$AC$4:$AC$83,$AK25))),"다기관",IF($AF25="","",INDEX(파견수련계획!$T$4:$T$83,$AF25))),IF($AF25="","",INDEX(파견수련계획!$T$4:$T$83,$AF25))))</f>
        <v/>
      </c>
      <c r="Q25" s="10">
        <f>IF($AF25="","",INDEX(파견수련계획!$S$4:$S$83,$AF25))</f>
        <v/>
      </c>
      <c r="R25" s="10">
        <f>IF($AF25="","",INDEX(파견수련계획!$U$4:$U$83,$AF25))</f>
        <v/>
      </c>
      <c r="S25" s="11">
        <f>IF($AF25="","",IF(INDEX(파견수련계획!$H$4:$H$83,$AF25)="","",INDEX(파견수련계획!$H$4:$H$83,$AF25)))</f>
        <v/>
      </c>
      <c r="T25" s="11">
        <f>IF($AF25="","",IF(INDEX(파견수련계획!$I$4:$I$83,$AF25)="","",INDEX(파견수련계획!$I$4:$I$83,$AF25)))</f>
        <v/>
      </c>
      <c r="U25" s="10">
        <f>IF($AF25="","",INDEX(파견수련계획!$X$4:$X$83,$AF25))</f>
        <v/>
      </c>
      <c r="V25" s="17">
        <f>IF($AF25="","",INDEX(파견수련계획!$V$4:$V$83,$AF25))</f>
        <v/>
      </c>
      <c r="W25" s="17">
        <f>IF(AND($U25="파견중",$T25&lt;&gt;""),$T25-TODAY(),"")</f>
        <v/>
      </c>
      <c r="X25" s="17">
        <f>IF(OR($B25="",TRIM($J25&amp;"")=""),"",SUMPRODUCT((파견수련계획!$Q$4:$Q$83=TRIM($J25&amp;""))*파견수련계획!$W$4:$W$83))</f>
        <v/>
      </c>
      <c r="Y25" s="10">
        <f>IF($B25="","",IF($AG25="","",IF(IF(TRIM($J25&amp;"")="",0,SUMPRODUCT((파견수련계획!$Q$4:$Q$83=TRIM($J25&amp;""))*파견수련계획!$AD$4:$AD$83))&gt;0,$AE25,IF(N($X25)&lt;=0,$AG25,IF($AH25+$AI25=DAY(EOMONTH(요약!$B$3,0)),IF(AND($AH25&gt;=요약!$E$3,$AI25&lt;요약!$E$3),"서울병원",IF(AND($AI25&gt;=요약!$E$3,$AH25&lt;요약!$E$3),"구리병원","⚠15일 판정불가(서울 "&amp;$AH25&amp;"일/구리 "&amp;$AI25&amp;"일)")),IF($AJ25="",$AE25,IF(INDEX(파견수련계획!$T$4:$T$83,$AJ25)="통합수련",INDEX(파견수련계획!$S$4:$S$83,$AJ25),$AE25)))))))</f>
        <v/>
      </c>
      <c r="Z25" s="19">
        <f>IF($B25="","",IF($AB25="","기본자료에 없는 사번",IF(COUNTIF($B$2:$B$61,$B25)&gt;1,"중복 사번",IF($AE25="","소속(입사장소) 입력",IF(IF(TRIM($J25&amp;"")="",0,SUMPRODUCT((파견수련계획!$Q$4:$Q$83=TRIM($J25&amp;""))*(파견수련계획!$AA$4:$AA$83&lt;&gt;"")))&gt;0,"파견수련계획 입력오류 확인",IF(LEFT($Y25,1)="⚠","서울·구리 15일 판정 불가(양쪽 모두 이상/미만)",IF(IF($AC25="",0,N(INDEX(인턴근무계획!$T$3:$T$62,$AC25)))&gt;0,"인턴계획 입력오류 확인",IF(AND($AC25&lt;&gt;"",$U25&lt;&gt;"파견중",$N25&lt;&gt;$AE25),"인턴 타지역 근무: 파견 여부 확인","정상"))))))))</f>
        <v/>
      </c>
      <c r="AA25" s="5" t="n"/>
      <c r="AB25" s="10">
        <f>IF($B25="","",IFERROR(MATCH($B25,기본자료!$B$2:$B$301,0),IFERROR(MATCH($B25&amp;"",기본자료!$B$2:$B$301,0),IFERROR(MATCH(VALUE($B25),기본자료!$B$2:$B$301,0),""))))</f>
        <v/>
      </c>
      <c r="AC25" s="10">
        <f>IF($B25="","",IFERROR(MATCH($B25,인턴근무계획!$D$3:$D$62,0),IFERROR(MATCH($B25&amp;"",인턴근무계획!$D$3:$D$62,0),IFERROR(MATCH(VALUE($B25),인턴근무계획!$D$3:$D$62,0),""))))</f>
        <v/>
      </c>
      <c r="AD25" s="10">
        <f>IF(OR($AC25="",인턴현황!$G$3=""),"",INDEX(인턴근무계획!$M$3:$R$62,$AC25,인턴현황!$G$3)&amp;"")</f>
        <v/>
      </c>
      <c r="AE25" s="10">
        <f>IF($B25="","",IF($M25&lt;&gt;"",$M25,IF($AF25&lt;&gt;"",IF(LEFT(INDEX(파견수련계획!$R$4:$R$83,$AF25),1)&lt;&gt;"⚠",INDEX(파견수련계획!$R$4:$R$83,$AF25),IF($H25="","",IF(RIGHT($H25,2)="병원",$H25,$H25&amp;"병원"))),IF($H25="","",IF(RIGHT($H25,2)="병원",$H25,$H25&amp;"병원")))))</f>
        <v/>
      </c>
      <c r="AF25" s="10">
        <f>IF(OR($B25="",TRIM($J25&amp;"")=""),"",IFERROR(MATCH(TRIM($J25&amp;"")&amp;"|파견중",파견수련계획!$Y$4:$Y$83,0),IFERROR(MATCH(TRIM($J25&amp;"")&amp;"|파견예정",파견수련계획!$Y$4:$Y$83,0),IFERROR(MATCH(TRIM($J25&amp;"")&amp;"|파견종료",파견수련계획!$Y$4:$Y$83,0),""))))</f>
        <v/>
      </c>
      <c r="AG25" s="10">
        <f>IF($B25="","",IF(AND(IF(OR($AC25="",인턴현황!$K$2=""),"",INDEX(인턴근무계획!$M$3:$R$62,$AC25,인턴현황!$K$2)&amp;"")&lt;&gt;"",LEFT(IF(OR($AC25="",인턴현황!$K$2=""),"",INDEX(인턴근무계획!$M$3:$R$62,$AC25,인턴현황!$K$2)&amp;""),1)&lt;&gt;"⚠"),LEFT(IF(OR($AC25="",인턴현황!$K$2=""),"",INDEX(인턴근무계획!$M$3:$R$62,$AC25,인턴현황!$K$2)&amp;""),FIND(" ",IF(OR($AC25="",인턴현황!$K$2=""),"",INDEX(인턴근무계획!$M$3:$R$62,$AC25,인턴현황!$K$2)&amp;""))-1),$AE25))</f>
        <v/>
      </c>
      <c r="AH25" s="17">
        <f>IF($B25="","",IF(TRIM($J25&amp;"")="",0,SUMPRODUCT((파견수련계획!$Q$4:$Q$83=TRIM($J25&amp;""))*(파견수련계획!$S$4:$S$83="서울병원")*파견수련계획!$W$4:$W$83))+IF($AG25="서울병원",MAX(0,DAY(EOMONTH(요약!$B$3,0))-N($X25)),0))</f>
        <v/>
      </c>
      <c r="AI25" s="17">
        <f>IF($B25="","",IF(TRIM($J25&amp;"")="",0,SUMPRODUCT((파견수련계획!$Q$4:$Q$83=TRIM($J25&amp;""))*(파견수련계획!$S$4:$S$83="구리병원")*파견수련계획!$W$4:$W$83))+IF($AG25="구리병원",MAX(0,DAY(EOMONTH(요약!$B$3,0))-N($X25)),0))</f>
        <v/>
      </c>
      <c r="AJ25" s="10">
        <f>IF(OR($B25="",TRIM($J25&amp;"")=""),"",IFERROR(MATCH(TRIM($J25&amp;"")&amp;"|월",파견수련계획!$Z$4:$Z$83,0),""))</f>
        <v/>
      </c>
      <c r="AK25" s="10">
        <f>IF(OR($B25="",TRIM($J25&amp;"")=""),"",IFERROR(MATCH(TRIM($J25&amp;"")&amp;"|다기관",파견수련계획!$AE$4:$AE$83,0),""))</f>
        <v/>
      </c>
      <c r="AL25" s="10">
        <f>IF($AK25="","","다기관 "&amp;TEXT(INDEX(파견수련계획!$AB$4:$AB$83,$AK25),"yyyy-mm-dd")&amp;"~"&amp;IF(ISNUMBER(INDEX(파견수련계획!$AC$4:$AC$83,$AK25)),TEXT(INDEX(파견수련계획!$AC$4:$AC$83,$AK25),"yyyy-mm-dd"),""))</f>
        <v/>
      </c>
    </row>
    <row r="26">
      <c r="A26" s="10">
        <f>IF(B26="","",ROW()-1)</f>
        <v/>
      </c>
      <c r="B26" s="18" t="n"/>
      <c r="C26" s="10">
        <f>IF($AB26="","",IF(INDEX(기본자료!$C$2:$C$301,$AB26)="","",INDEX(기본자료!$C$2:$C$301,$AB26)))</f>
        <v/>
      </c>
      <c r="D26" s="10">
        <f>IF($AB26="","",IF(INDEX(기본자료!$J$2:$J$301,$AB26)="","",INDEX(기본자료!$J$2:$J$301,$AB26)))</f>
        <v/>
      </c>
      <c r="E26" s="11">
        <f>IF($AB26="","",IF(INDEX(기본자료!$K$2:$K$301,$AB26)="","",IF(NOT(ISNUMBER(INDEX(기본자료!$K$2:$K$301,$AB26))),INDEX(기본자료!$K$2:$K$301,$AB26),IF(INDEX(기본자료!$K$2:$K$301,$AB26)&lt;1000000,INDEX(기본자료!$K$2:$K$301,$AB26),IF(AND(INDEX(기본자료!$K$2:$K$301,$AB26)&gt;=10000101,INT(MOD(INDEX(기본자료!$K$2:$K$301,$AB26),10000)/100)&gt;=1,INT(MOD(INDEX(기본자료!$K$2:$K$301,$AB26),10000)/100)&lt;=12,MOD(INDEX(기본자료!$K$2:$K$301,$AB26),100)&gt;=1,MOD(INDEX(기본자료!$K$2:$K$301,$AB26),100)&lt;=31),DATE(INT(INDEX(기본자료!$K$2:$K$301,$AB26)/10000),INT(MOD(INDEX(기본자료!$K$2:$K$301,$AB26),10000)/100),MOD(INDEX(기본자료!$K$2:$K$301,$AB26),100)),INDEX(기본자료!$K$2:$K$301,$AB26)&amp;"")))))</f>
        <v/>
      </c>
      <c r="F26" s="10">
        <f>IF($AB26="","",IF(INDEX(기본자료!$D$2:$D$301,$AB26)="","",INDEX(기본자료!$D$2:$D$301,$AB26)))</f>
        <v/>
      </c>
      <c r="G26" s="10">
        <f>IF($AB26="","",IF(INDEX(기본자료!$E$2:$E$301,$AB26)="","",INDEX(기본자료!$E$2:$E$301,$AB26)))</f>
        <v/>
      </c>
      <c r="H26" s="10">
        <f>IF($AB26="","",IF(INDEX(기본자료!$F$2:$F$301,$AB26)="","",INDEX(기본자료!$F$2:$F$301,$AB26)))</f>
        <v/>
      </c>
      <c r="I26" s="11">
        <f>IF($AB26="","",IF(INDEX(기본자료!$G$2:$G$301,$AB26)="","",IF(NOT(ISNUMBER(INDEX(기본자료!$G$2:$G$301,$AB26))),INDEX(기본자료!$G$2:$G$301,$AB26),IF(INDEX(기본자료!$G$2:$G$301,$AB26)&lt;1000000,INDEX(기본자료!$G$2:$G$301,$AB26),IF(AND(INDEX(기본자료!$G$2:$G$301,$AB26)&gt;=10000101,INT(MOD(INDEX(기본자료!$G$2:$G$301,$AB26),10000)/100)&gt;=1,INT(MOD(INDEX(기본자료!$G$2:$G$301,$AB26),10000)/100)&lt;=12,MOD(INDEX(기본자료!$G$2:$G$301,$AB26),100)&gt;=1,MOD(INDEX(기본자료!$G$2:$G$301,$AB26),100)&lt;=31),DATE(INT(INDEX(기본자료!$G$2:$G$301,$AB26)/10000),INT(MOD(INDEX(기본자료!$G$2:$G$301,$AB26),10000)/100),MOD(INDEX(기본자료!$G$2:$G$301,$AB26),100)),INDEX(기본자료!$G$2:$G$301,$AB26)&amp;"")))))</f>
        <v/>
      </c>
      <c r="J26" s="10">
        <f>IF($AB26="","",IF(INDEX(기본자료!$H$2:$H$301,$AB26)="","",INDEX(기본자료!$H$2:$H$301,$AB26)))</f>
        <v/>
      </c>
      <c r="K26" s="10">
        <f>IF($AB26="","",IF(INDEX(기본자료!$I$2:$I$301,$AB26)="","",INDEX(기본자료!$I$2:$I$301,$AB26)))</f>
        <v/>
      </c>
      <c r="L26" s="10">
        <f>IF($AB26="","",IF(INDEX(기본자료!$A$2:$A$301,$AB26)="","",INDEX(기본자료!$A$2:$A$301,$AB26)))</f>
        <v/>
      </c>
      <c r="M26" s="15" t="n"/>
      <c r="N26" s="10">
        <f>IF($B26="","",IF(AND($U26="파견중",$Q26&lt;&gt;""),$Q26,IF(AND($AD26&lt;&gt;"",LEFT($AD26,1)&lt;&gt;"⚠"),LEFT($AD26,FIND(" ",$AD26)-1),IF($H26="","",IF(RIGHT($H26,2)="병원",$H26,$H26&amp;"병원")))))</f>
        <v/>
      </c>
      <c r="O26" s="10">
        <f>IF($B26="","",IF(AND($U26="파견중",$Q26&lt;&gt;""),IF($R26&lt;&gt;"",$R26,"파견과 미입력"),IF(AND($AD26&lt;&gt;"",LEFT($AD26,1)&lt;&gt;"⚠"),MID($AD26,FIND(" ",$AD26)+1,60),IF($F26="","",IF($F26="인턴","수련교육부(인턴)",$F26)))))</f>
        <v/>
      </c>
      <c r="P26" s="10">
        <f>IF($B26="","",IF($AK26&lt;&gt;"",IF(AND(TODAY()&gt;=INDEX(파견수련계획!$AB$4:$AB$83,$AK26),OR(NOT(ISNUMBER(INDEX(파견수련계획!$AC$4:$AC$83,$AK26))),TODAY()&lt;=INDEX(파견수련계획!$AC$4:$AC$83,$AK26))),"다기관",IF($AF26="","",INDEX(파견수련계획!$T$4:$T$83,$AF26))),IF($AF26="","",INDEX(파견수련계획!$T$4:$T$83,$AF26))))</f>
        <v/>
      </c>
      <c r="Q26" s="10">
        <f>IF($AF26="","",INDEX(파견수련계획!$S$4:$S$83,$AF26))</f>
        <v/>
      </c>
      <c r="R26" s="10">
        <f>IF($AF26="","",INDEX(파견수련계획!$U$4:$U$83,$AF26))</f>
        <v/>
      </c>
      <c r="S26" s="11">
        <f>IF($AF26="","",IF(INDEX(파견수련계획!$H$4:$H$83,$AF26)="","",INDEX(파견수련계획!$H$4:$H$83,$AF26)))</f>
        <v/>
      </c>
      <c r="T26" s="11">
        <f>IF($AF26="","",IF(INDEX(파견수련계획!$I$4:$I$83,$AF26)="","",INDEX(파견수련계획!$I$4:$I$83,$AF26)))</f>
        <v/>
      </c>
      <c r="U26" s="10">
        <f>IF($AF26="","",INDEX(파견수련계획!$X$4:$X$83,$AF26))</f>
        <v/>
      </c>
      <c r="V26" s="17">
        <f>IF($AF26="","",INDEX(파견수련계획!$V$4:$V$83,$AF26))</f>
        <v/>
      </c>
      <c r="W26" s="17">
        <f>IF(AND($U26="파견중",$T26&lt;&gt;""),$T26-TODAY(),"")</f>
        <v/>
      </c>
      <c r="X26" s="17">
        <f>IF(OR($B26="",TRIM($J26&amp;"")=""),"",SUMPRODUCT((파견수련계획!$Q$4:$Q$83=TRIM($J26&amp;""))*파견수련계획!$W$4:$W$83))</f>
        <v/>
      </c>
      <c r="Y26" s="10">
        <f>IF($B26="","",IF($AG26="","",IF(IF(TRIM($J26&amp;"")="",0,SUMPRODUCT((파견수련계획!$Q$4:$Q$83=TRIM($J26&amp;""))*파견수련계획!$AD$4:$AD$83))&gt;0,$AE26,IF(N($X26)&lt;=0,$AG26,IF($AH26+$AI26=DAY(EOMONTH(요약!$B$3,0)),IF(AND($AH26&gt;=요약!$E$3,$AI26&lt;요약!$E$3),"서울병원",IF(AND($AI26&gt;=요약!$E$3,$AH26&lt;요약!$E$3),"구리병원","⚠15일 판정불가(서울 "&amp;$AH26&amp;"일/구리 "&amp;$AI26&amp;"일)")),IF($AJ26="",$AE26,IF(INDEX(파견수련계획!$T$4:$T$83,$AJ26)="통합수련",INDEX(파견수련계획!$S$4:$S$83,$AJ26),$AE26)))))))</f>
        <v/>
      </c>
      <c r="Z26" s="19">
        <f>IF($B26="","",IF($AB26="","기본자료에 없는 사번",IF(COUNTIF($B$2:$B$61,$B26)&gt;1,"중복 사번",IF($AE26="","소속(입사장소) 입력",IF(IF(TRIM($J26&amp;"")="",0,SUMPRODUCT((파견수련계획!$Q$4:$Q$83=TRIM($J26&amp;""))*(파견수련계획!$AA$4:$AA$83&lt;&gt;"")))&gt;0,"파견수련계획 입력오류 확인",IF(LEFT($Y26,1)="⚠","서울·구리 15일 판정 불가(양쪽 모두 이상/미만)",IF(IF($AC26="",0,N(INDEX(인턴근무계획!$T$3:$T$62,$AC26)))&gt;0,"인턴계획 입력오류 확인",IF(AND($AC26&lt;&gt;"",$U26&lt;&gt;"파견중",$N26&lt;&gt;$AE26),"인턴 타지역 근무: 파견 여부 확인","정상"))))))))</f>
        <v/>
      </c>
      <c r="AA26" s="5" t="n"/>
      <c r="AB26" s="10">
        <f>IF($B26="","",IFERROR(MATCH($B26,기본자료!$B$2:$B$301,0),IFERROR(MATCH($B26&amp;"",기본자료!$B$2:$B$301,0),IFERROR(MATCH(VALUE($B26),기본자료!$B$2:$B$301,0),""))))</f>
        <v/>
      </c>
      <c r="AC26" s="10">
        <f>IF($B26="","",IFERROR(MATCH($B26,인턴근무계획!$D$3:$D$62,0),IFERROR(MATCH($B26&amp;"",인턴근무계획!$D$3:$D$62,0),IFERROR(MATCH(VALUE($B26),인턴근무계획!$D$3:$D$62,0),""))))</f>
        <v/>
      </c>
      <c r="AD26" s="10">
        <f>IF(OR($AC26="",인턴현황!$G$3=""),"",INDEX(인턴근무계획!$M$3:$R$62,$AC26,인턴현황!$G$3)&amp;"")</f>
        <v/>
      </c>
      <c r="AE26" s="10">
        <f>IF($B26="","",IF($M26&lt;&gt;"",$M26,IF($AF26&lt;&gt;"",IF(LEFT(INDEX(파견수련계획!$R$4:$R$83,$AF26),1)&lt;&gt;"⚠",INDEX(파견수련계획!$R$4:$R$83,$AF26),IF($H26="","",IF(RIGHT($H26,2)="병원",$H26,$H26&amp;"병원"))),IF($H26="","",IF(RIGHT($H26,2)="병원",$H26,$H26&amp;"병원")))))</f>
        <v/>
      </c>
      <c r="AF26" s="10">
        <f>IF(OR($B26="",TRIM($J26&amp;"")=""),"",IFERROR(MATCH(TRIM($J26&amp;"")&amp;"|파견중",파견수련계획!$Y$4:$Y$83,0),IFERROR(MATCH(TRIM($J26&amp;"")&amp;"|파견예정",파견수련계획!$Y$4:$Y$83,0),IFERROR(MATCH(TRIM($J26&amp;"")&amp;"|파견종료",파견수련계획!$Y$4:$Y$83,0),""))))</f>
        <v/>
      </c>
      <c r="AG26" s="10">
        <f>IF($B26="","",IF(AND(IF(OR($AC26="",인턴현황!$K$2=""),"",INDEX(인턴근무계획!$M$3:$R$62,$AC26,인턴현황!$K$2)&amp;"")&lt;&gt;"",LEFT(IF(OR($AC26="",인턴현황!$K$2=""),"",INDEX(인턴근무계획!$M$3:$R$62,$AC26,인턴현황!$K$2)&amp;""),1)&lt;&gt;"⚠"),LEFT(IF(OR($AC26="",인턴현황!$K$2=""),"",INDEX(인턴근무계획!$M$3:$R$62,$AC26,인턴현황!$K$2)&amp;""),FIND(" ",IF(OR($AC26="",인턴현황!$K$2=""),"",INDEX(인턴근무계획!$M$3:$R$62,$AC26,인턴현황!$K$2)&amp;""))-1),$AE26))</f>
        <v/>
      </c>
      <c r="AH26" s="17">
        <f>IF($B26="","",IF(TRIM($J26&amp;"")="",0,SUMPRODUCT((파견수련계획!$Q$4:$Q$83=TRIM($J26&amp;""))*(파견수련계획!$S$4:$S$83="서울병원")*파견수련계획!$W$4:$W$83))+IF($AG26="서울병원",MAX(0,DAY(EOMONTH(요약!$B$3,0))-N($X26)),0))</f>
        <v/>
      </c>
      <c r="AI26" s="17">
        <f>IF($B26="","",IF(TRIM($J26&amp;"")="",0,SUMPRODUCT((파견수련계획!$Q$4:$Q$83=TRIM($J26&amp;""))*(파견수련계획!$S$4:$S$83="구리병원")*파견수련계획!$W$4:$W$83))+IF($AG26="구리병원",MAX(0,DAY(EOMONTH(요약!$B$3,0))-N($X26)),0))</f>
        <v/>
      </c>
      <c r="AJ26" s="10">
        <f>IF(OR($B26="",TRIM($J26&amp;"")=""),"",IFERROR(MATCH(TRIM($J26&amp;"")&amp;"|월",파견수련계획!$Z$4:$Z$83,0),""))</f>
        <v/>
      </c>
      <c r="AK26" s="10">
        <f>IF(OR($B26="",TRIM($J26&amp;"")=""),"",IFERROR(MATCH(TRIM($J26&amp;"")&amp;"|다기관",파견수련계획!$AE$4:$AE$83,0),""))</f>
        <v/>
      </c>
      <c r="AL26" s="10">
        <f>IF($AK26="","","다기관 "&amp;TEXT(INDEX(파견수련계획!$AB$4:$AB$83,$AK26),"yyyy-mm-dd")&amp;"~"&amp;IF(ISNUMBER(INDEX(파견수련계획!$AC$4:$AC$83,$AK26)),TEXT(INDEX(파견수련계획!$AC$4:$AC$83,$AK26),"yyyy-mm-dd"),""))</f>
        <v/>
      </c>
    </row>
    <row r="27">
      <c r="A27" s="10">
        <f>IF(B27="","",ROW()-1)</f>
        <v/>
      </c>
      <c r="B27" s="18" t="n"/>
      <c r="C27" s="10">
        <f>IF($AB27="","",IF(INDEX(기본자료!$C$2:$C$301,$AB27)="","",INDEX(기본자료!$C$2:$C$301,$AB27)))</f>
        <v/>
      </c>
      <c r="D27" s="10">
        <f>IF($AB27="","",IF(INDEX(기본자료!$J$2:$J$301,$AB27)="","",INDEX(기본자료!$J$2:$J$301,$AB27)))</f>
        <v/>
      </c>
      <c r="E27" s="11">
        <f>IF($AB27="","",IF(INDEX(기본자료!$K$2:$K$301,$AB27)="","",IF(NOT(ISNUMBER(INDEX(기본자료!$K$2:$K$301,$AB27))),INDEX(기본자료!$K$2:$K$301,$AB27),IF(INDEX(기본자료!$K$2:$K$301,$AB27)&lt;1000000,INDEX(기본자료!$K$2:$K$301,$AB27),IF(AND(INDEX(기본자료!$K$2:$K$301,$AB27)&gt;=10000101,INT(MOD(INDEX(기본자료!$K$2:$K$301,$AB27),10000)/100)&gt;=1,INT(MOD(INDEX(기본자료!$K$2:$K$301,$AB27),10000)/100)&lt;=12,MOD(INDEX(기본자료!$K$2:$K$301,$AB27),100)&gt;=1,MOD(INDEX(기본자료!$K$2:$K$301,$AB27),100)&lt;=31),DATE(INT(INDEX(기본자료!$K$2:$K$301,$AB27)/10000),INT(MOD(INDEX(기본자료!$K$2:$K$301,$AB27),10000)/100),MOD(INDEX(기본자료!$K$2:$K$301,$AB27),100)),INDEX(기본자료!$K$2:$K$301,$AB27)&amp;"")))))</f>
        <v/>
      </c>
      <c r="F27" s="10">
        <f>IF($AB27="","",IF(INDEX(기본자료!$D$2:$D$301,$AB27)="","",INDEX(기본자료!$D$2:$D$301,$AB27)))</f>
        <v/>
      </c>
      <c r="G27" s="10">
        <f>IF($AB27="","",IF(INDEX(기본자료!$E$2:$E$301,$AB27)="","",INDEX(기본자료!$E$2:$E$301,$AB27)))</f>
        <v/>
      </c>
      <c r="H27" s="10">
        <f>IF($AB27="","",IF(INDEX(기본자료!$F$2:$F$301,$AB27)="","",INDEX(기본자료!$F$2:$F$301,$AB27)))</f>
        <v/>
      </c>
      <c r="I27" s="11">
        <f>IF($AB27="","",IF(INDEX(기본자료!$G$2:$G$301,$AB27)="","",IF(NOT(ISNUMBER(INDEX(기본자료!$G$2:$G$301,$AB27))),INDEX(기본자료!$G$2:$G$301,$AB27),IF(INDEX(기본자료!$G$2:$G$301,$AB27)&lt;1000000,INDEX(기본자료!$G$2:$G$301,$AB27),IF(AND(INDEX(기본자료!$G$2:$G$301,$AB27)&gt;=10000101,INT(MOD(INDEX(기본자료!$G$2:$G$301,$AB27),10000)/100)&gt;=1,INT(MOD(INDEX(기본자료!$G$2:$G$301,$AB27),10000)/100)&lt;=12,MOD(INDEX(기본자료!$G$2:$G$301,$AB27),100)&gt;=1,MOD(INDEX(기본자료!$G$2:$G$301,$AB27),100)&lt;=31),DATE(INT(INDEX(기본자료!$G$2:$G$301,$AB27)/10000),INT(MOD(INDEX(기본자료!$G$2:$G$301,$AB27),10000)/100),MOD(INDEX(기본자료!$G$2:$G$301,$AB27),100)),INDEX(기본자료!$G$2:$G$301,$AB27)&amp;"")))))</f>
        <v/>
      </c>
      <c r="J27" s="10">
        <f>IF($AB27="","",IF(INDEX(기본자료!$H$2:$H$301,$AB27)="","",INDEX(기본자료!$H$2:$H$301,$AB27)))</f>
        <v/>
      </c>
      <c r="K27" s="10">
        <f>IF($AB27="","",IF(INDEX(기본자료!$I$2:$I$301,$AB27)="","",INDEX(기본자료!$I$2:$I$301,$AB27)))</f>
        <v/>
      </c>
      <c r="L27" s="10">
        <f>IF($AB27="","",IF(INDEX(기본자료!$A$2:$A$301,$AB27)="","",INDEX(기본자료!$A$2:$A$301,$AB27)))</f>
        <v/>
      </c>
      <c r="M27" s="15" t="n"/>
      <c r="N27" s="10">
        <f>IF($B27="","",IF(AND($U27="파견중",$Q27&lt;&gt;""),$Q27,IF(AND($AD27&lt;&gt;"",LEFT($AD27,1)&lt;&gt;"⚠"),LEFT($AD27,FIND(" ",$AD27)-1),IF($H27="","",IF(RIGHT($H27,2)="병원",$H27,$H27&amp;"병원")))))</f>
        <v/>
      </c>
      <c r="O27" s="10">
        <f>IF($B27="","",IF(AND($U27="파견중",$Q27&lt;&gt;""),IF($R27&lt;&gt;"",$R27,"파견과 미입력"),IF(AND($AD27&lt;&gt;"",LEFT($AD27,1)&lt;&gt;"⚠"),MID($AD27,FIND(" ",$AD27)+1,60),IF($F27="","",IF($F27="인턴","수련교육부(인턴)",$F27)))))</f>
        <v/>
      </c>
      <c r="P27" s="10">
        <f>IF($B27="","",IF($AK27&lt;&gt;"",IF(AND(TODAY()&gt;=INDEX(파견수련계획!$AB$4:$AB$83,$AK27),OR(NOT(ISNUMBER(INDEX(파견수련계획!$AC$4:$AC$83,$AK27))),TODAY()&lt;=INDEX(파견수련계획!$AC$4:$AC$83,$AK27))),"다기관",IF($AF27="","",INDEX(파견수련계획!$T$4:$T$83,$AF27))),IF($AF27="","",INDEX(파견수련계획!$T$4:$T$83,$AF27))))</f>
        <v/>
      </c>
      <c r="Q27" s="10">
        <f>IF($AF27="","",INDEX(파견수련계획!$S$4:$S$83,$AF27))</f>
        <v/>
      </c>
      <c r="R27" s="10">
        <f>IF($AF27="","",INDEX(파견수련계획!$U$4:$U$83,$AF27))</f>
        <v/>
      </c>
      <c r="S27" s="11">
        <f>IF($AF27="","",IF(INDEX(파견수련계획!$H$4:$H$83,$AF27)="","",INDEX(파견수련계획!$H$4:$H$83,$AF27)))</f>
        <v/>
      </c>
      <c r="T27" s="11">
        <f>IF($AF27="","",IF(INDEX(파견수련계획!$I$4:$I$83,$AF27)="","",INDEX(파견수련계획!$I$4:$I$83,$AF27)))</f>
        <v/>
      </c>
      <c r="U27" s="10">
        <f>IF($AF27="","",INDEX(파견수련계획!$X$4:$X$83,$AF27))</f>
        <v/>
      </c>
      <c r="V27" s="17">
        <f>IF($AF27="","",INDEX(파견수련계획!$V$4:$V$83,$AF27))</f>
        <v/>
      </c>
      <c r="W27" s="17">
        <f>IF(AND($U27="파견중",$T27&lt;&gt;""),$T27-TODAY(),"")</f>
        <v/>
      </c>
      <c r="X27" s="17">
        <f>IF(OR($B27="",TRIM($J27&amp;"")=""),"",SUMPRODUCT((파견수련계획!$Q$4:$Q$83=TRIM($J27&amp;""))*파견수련계획!$W$4:$W$83))</f>
        <v/>
      </c>
      <c r="Y27" s="10">
        <f>IF($B27="","",IF($AG27="","",IF(IF(TRIM($J27&amp;"")="",0,SUMPRODUCT((파견수련계획!$Q$4:$Q$83=TRIM($J27&amp;""))*파견수련계획!$AD$4:$AD$83))&gt;0,$AE27,IF(N($X27)&lt;=0,$AG27,IF($AH27+$AI27=DAY(EOMONTH(요약!$B$3,0)),IF(AND($AH27&gt;=요약!$E$3,$AI27&lt;요약!$E$3),"서울병원",IF(AND($AI27&gt;=요약!$E$3,$AH27&lt;요약!$E$3),"구리병원","⚠15일 판정불가(서울 "&amp;$AH27&amp;"일/구리 "&amp;$AI27&amp;"일)")),IF($AJ27="",$AE27,IF(INDEX(파견수련계획!$T$4:$T$83,$AJ27)="통합수련",INDEX(파견수련계획!$S$4:$S$83,$AJ27),$AE27)))))))</f>
        <v/>
      </c>
      <c r="Z27" s="19">
        <f>IF($B27="","",IF($AB27="","기본자료에 없는 사번",IF(COUNTIF($B$2:$B$61,$B27)&gt;1,"중복 사번",IF($AE27="","소속(입사장소) 입력",IF(IF(TRIM($J27&amp;"")="",0,SUMPRODUCT((파견수련계획!$Q$4:$Q$83=TRIM($J27&amp;""))*(파견수련계획!$AA$4:$AA$83&lt;&gt;"")))&gt;0,"파견수련계획 입력오류 확인",IF(LEFT($Y27,1)="⚠","서울·구리 15일 판정 불가(양쪽 모두 이상/미만)",IF(IF($AC27="",0,N(INDEX(인턴근무계획!$T$3:$T$62,$AC27)))&gt;0,"인턴계획 입력오류 확인",IF(AND($AC27&lt;&gt;"",$U27&lt;&gt;"파견중",$N27&lt;&gt;$AE27),"인턴 타지역 근무: 파견 여부 확인","정상"))))))))</f>
        <v/>
      </c>
      <c r="AA27" s="5" t="n"/>
      <c r="AB27" s="10">
        <f>IF($B27="","",IFERROR(MATCH($B27,기본자료!$B$2:$B$301,0),IFERROR(MATCH($B27&amp;"",기본자료!$B$2:$B$301,0),IFERROR(MATCH(VALUE($B27),기본자료!$B$2:$B$301,0),""))))</f>
        <v/>
      </c>
      <c r="AC27" s="10">
        <f>IF($B27="","",IFERROR(MATCH($B27,인턴근무계획!$D$3:$D$62,0),IFERROR(MATCH($B27&amp;"",인턴근무계획!$D$3:$D$62,0),IFERROR(MATCH(VALUE($B27),인턴근무계획!$D$3:$D$62,0),""))))</f>
        <v/>
      </c>
      <c r="AD27" s="10">
        <f>IF(OR($AC27="",인턴현황!$G$3=""),"",INDEX(인턴근무계획!$M$3:$R$62,$AC27,인턴현황!$G$3)&amp;"")</f>
        <v/>
      </c>
      <c r="AE27" s="10">
        <f>IF($B27="","",IF($M27&lt;&gt;"",$M27,IF($AF27&lt;&gt;"",IF(LEFT(INDEX(파견수련계획!$R$4:$R$83,$AF27),1)&lt;&gt;"⚠",INDEX(파견수련계획!$R$4:$R$83,$AF27),IF($H27="","",IF(RIGHT($H27,2)="병원",$H27,$H27&amp;"병원"))),IF($H27="","",IF(RIGHT($H27,2)="병원",$H27,$H27&amp;"병원")))))</f>
        <v/>
      </c>
      <c r="AF27" s="10">
        <f>IF(OR($B27="",TRIM($J27&amp;"")=""),"",IFERROR(MATCH(TRIM($J27&amp;"")&amp;"|파견중",파견수련계획!$Y$4:$Y$83,0),IFERROR(MATCH(TRIM($J27&amp;"")&amp;"|파견예정",파견수련계획!$Y$4:$Y$83,0),IFERROR(MATCH(TRIM($J27&amp;"")&amp;"|파견종료",파견수련계획!$Y$4:$Y$83,0),""))))</f>
        <v/>
      </c>
      <c r="AG27" s="10">
        <f>IF($B27="","",IF(AND(IF(OR($AC27="",인턴현황!$K$2=""),"",INDEX(인턴근무계획!$M$3:$R$62,$AC27,인턴현황!$K$2)&amp;"")&lt;&gt;"",LEFT(IF(OR($AC27="",인턴현황!$K$2=""),"",INDEX(인턴근무계획!$M$3:$R$62,$AC27,인턴현황!$K$2)&amp;""),1)&lt;&gt;"⚠"),LEFT(IF(OR($AC27="",인턴현황!$K$2=""),"",INDEX(인턴근무계획!$M$3:$R$62,$AC27,인턴현황!$K$2)&amp;""),FIND(" ",IF(OR($AC27="",인턴현황!$K$2=""),"",INDEX(인턴근무계획!$M$3:$R$62,$AC27,인턴현황!$K$2)&amp;""))-1),$AE27))</f>
        <v/>
      </c>
      <c r="AH27" s="17">
        <f>IF($B27="","",IF(TRIM($J27&amp;"")="",0,SUMPRODUCT((파견수련계획!$Q$4:$Q$83=TRIM($J27&amp;""))*(파견수련계획!$S$4:$S$83="서울병원")*파견수련계획!$W$4:$W$83))+IF($AG27="서울병원",MAX(0,DAY(EOMONTH(요약!$B$3,0))-N($X27)),0))</f>
        <v/>
      </c>
      <c r="AI27" s="17">
        <f>IF($B27="","",IF(TRIM($J27&amp;"")="",0,SUMPRODUCT((파견수련계획!$Q$4:$Q$83=TRIM($J27&amp;""))*(파견수련계획!$S$4:$S$83="구리병원")*파견수련계획!$W$4:$W$83))+IF($AG27="구리병원",MAX(0,DAY(EOMONTH(요약!$B$3,0))-N($X27)),0))</f>
        <v/>
      </c>
      <c r="AJ27" s="10">
        <f>IF(OR($B27="",TRIM($J27&amp;"")=""),"",IFERROR(MATCH(TRIM($J27&amp;"")&amp;"|월",파견수련계획!$Z$4:$Z$83,0),""))</f>
        <v/>
      </c>
      <c r="AK27" s="10">
        <f>IF(OR($B27="",TRIM($J27&amp;"")=""),"",IFERROR(MATCH(TRIM($J27&amp;"")&amp;"|다기관",파견수련계획!$AE$4:$AE$83,0),""))</f>
        <v/>
      </c>
      <c r="AL27" s="10">
        <f>IF($AK27="","","다기관 "&amp;TEXT(INDEX(파견수련계획!$AB$4:$AB$83,$AK27),"yyyy-mm-dd")&amp;"~"&amp;IF(ISNUMBER(INDEX(파견수련계획!$AC$4:$AC$83,$AK27)),TEXT(INDEX(파견수련계획!$AC$4:$AC$83,$AK27),"yyyy-mm-dd"),""))</f>
        <v/>
      </c>
    </row>
    <row r="28">
      <c r="A28" s="10">
        <f>IF(B28="","",ROW()-1)</f>
        <v/>
      </c>
      <c r="B28" s="18" t="n"/>
      <c r="C28" s="10">
        <f>IF($AB28="","",IF(INDEX(기본자료!$C$2:$C$301,$AB28)="","",INDEX(기본자료!$C$2:$C$301,$AB28)))</f>
        <v/>
      </c>
      <c r="D28" s="10">
        <f>IF($AB28="","",IF(INDEX(기본자료!$J$2:$J$301,$AB28)="","",INDEX(기본자료!$J$2:$J$301,$AB28)))</f>
        <v/>
      </c>
      <c r="E28" s="11">
        <f>IF($AB28="","",IF(INDEX(기본자료!$K$2:$K$301,$AB28)="","",IF(NOT(ISNUMBER(INDEX(기본자료!$K$2:$K$301,$AB28))),INDEX(기본자료!$K$2:$K$301,$AB28),IF(INDEX(기본자료!$K$2:$K$301,$AB28)&lt;1000000,INDEX(기본자료!$K$2:$K$301,$AB28),IF(AND(INDEX(기본자료!$K$2:$K$301,$AB28)&gt;=10000101,INT(MOD(INDEX(기본자료!$K$2:$K$301,$AB28),10000)/100)&gt;=1,INT(MOD(INDEX(기본자료!$K$2:$K$301,$AB28),10000)/100)&lt;=12,MOD(INDEX(기본자료!$K$2:$K$301,$AB28),100)&gt;=1,MOD(INDEX(기본자료!$K$2:$K$301,$AB28),100)&lt;=31),DATE(INT(INDEX(기본자료!$K$2:$K$301,$AB28)/10000),INT(MOD(INDEX(기본자료!$K$2:$K$301,$AB28),10000)/100),MOD(INDEX(기본자료!$K$2:$K$301,$AB28),100)),INDEX(기본자료!$K$2:$K$301,$AB28)&amp;"")))))</f>
        <v/>
      </c>
      <c r="F28" s="10">
        <f>IF($AB28="","",IF(INDEX(기본자료!$D$2:$D$301,$AB28)="","",INDEX(기본자료!$D$2:$D$301,$AB28)))</f>
        <v/>
      </c>
      <c r="G28" s="10">
        <f>IF($AB28="","",IF(INDEX(기본자료!$E$2:$E$301,$AB28)="","",INDEX(기본자료!$E$2:$E$301,$AB28)))</f>
        <v/>
      </c>
      <c r="H28" s="10">
        <f>IF($AB28="","",IF(INDEX(기본자료!$F$2:$F$301,$AB28)="","",INDEX(기본자료!$F$2:$F$301,$AB28)))</f>
        <v/>
      </c>
      <c r="I28" s="11">
        <f>IF($AB28="","",IF(INDEX(기본자료!$G$2:$G$301,$AB28)="","",IF(NOT(ISNUMBER(INDEX(기본자료!$G$2:$G$301,$AB28))),INDEX(기본자료!$G$2:$G$301,$AB28),IF(INDEX(기본자료!$G$2:$G$301,$AB28)&lt;1000000,INDEX(기본자료!$G$2:$G$301,$AB28),IF(AND(INDEX(기본자료!$G$2:$G$301,$AB28)&gt;=10000101,INT(MOD(INDEX(기본자료!$G$2:$G$301,$AB28),10000)/100)&gt;=1,INT(MOD(INDEX(기본자료!$G$2:$G$301,$AB28),10000)/100)&lt;=12,MOD(INDEX(기본자료!$G$2:$G$301,$AB28),100)&gt;=1,MOD(INDEX(기본자료!$G$2:$G$301,$AB28),100)&lt;=31),DATE(INT(INDEX(기본자료!$G$2:$G$301,$AB28)/10000),INT(MOD(INDEX(기본자료!$G$2:$G$301,$AB28),10000)/100),MOD(INDEX(기본자료!$G$2:$G$301,$AB28),100)),INDEX(기본자료!$G$2:$G$301,$AB28)&amp;"")))))</f>
        <v/>
      </c>
      <c r="J28" s="10">
        <f>IF($AB28="","",IF(INDEX(기본자료!$H$2:$H$301,$AB28)="","",INDEX(기본자료!$H$2:$H$301,$AB28)))</f>
        <v/>
      </c>
      <c r="K28" s="10">
        <f>IF($AB28="","",IF(INDEX(기본자료!$I$2:$I$301,$AB28)="","",INDEX(기본자료!$I$2:$I$301,$AB28)))</f>
        <v/>
      </c>
      <c r="L28" s="10">
        <f>IF($AB28="","",IF(INDEX(기본자료!$A$2:$A$301,$AB28)="","",INDEX(기본자료!$A$2:$A$301,$AB28)))</f>
        <v/>
      </c>
      <c r="M28" s="15" t="n"/>
      <c r="N28" s="10">
        <f>IF($B28="","",IF(AND($U28="파견중",$Q28&lt;&gt;""),$Q28,IF(AND($AD28&lt;&gt;"",LEFT($AD28,1)&lt;&gt;"⚠"),LEFT($AD28,FIND(" ",$AD28)-1),IF($H28="","",IF(RIGHT($H28,2)="병원",$H28,$H28&amp;"병원")))))</f>
        <v/>
      </c>
      <c r="O28" s="10">
        <f>IF($B28="","",IF(AND($U28="파견중",$Q28&lt;&gt;""),IF($R28&lt;&gt;"",$R28,"파견과 미입력"),IF(AND($AD28&lt;&gt;"",LEFT($AD28,1)&lt;&gt;"⚠"),MID($AD28,FIND(" ",$AD28)+1,60),IF($F28="","",IF($F28="인턴","수련교육부(인턴)",$F28)))))</f>
        <v/>
      </c>
      <c r="P28" s="10">
        <f>IF($B28="","",IF($AK28&lt;&gt;"",IF(AND(TODAY()&gt;=INDEX(파견수련계획!$AB$4:$AB$83,$AK28),OR(NOT(ISNUMBER(INDEX(파견수련계획!$AC$4:$AC$83,$AK28))),TODAY()&lt;=INDEX(파견수련계획!$AC$4:$AC$83,$AK28))),"다기관",IF($AF28="","",INDEX(파견수련계획!$T$4:$T$83,$AF28))),IF($AF28="","",INDEX(파견수련계획!$T$4:$T$83,$AF28))))</f>
        <v/>
      </c>
      <c r="Q28" s="10">
        <f>IF($AF28="","",INDEX(파견수련계획!$S$4:$S$83,$AF28))</f>
        <v/>
      </c>
      <c r="R28" s="10">
        <f>IF($AF28="","",INDEX(파견수련계획!$U$4:$U$83,$AF28))</f>
        <v/>
      </c>
      <c r="S28" s="11">
        <f>IF($AF28="","",IF(INDEX(파견수련계획!$H$4:$H$83,$AF28)="","",INDEX(파견수련계획!$H$4:$H$83,$AF28)))</f>
        <v/>
      </c>
      <c r="T28" s="11">
        <f>IF($AF28="","",IF(INDEX(파견수련계획!$I$4:$I$83,$AF28)="","",INDEX(파견수련계획!$I$4:$I$83,$AF28)))</f>
        <v/>
      </c>
      <c r="U28" s="10">
        <f>IF($AF28="","",INDEX(파견수련계획!$X$4:$X$83,$AF28))</f>
        <v/>
      </c>
      <c r="V28" s="17">
        <f>IF($AF28="","",INDEX(파견수련계획!$V$4:$V$83,$AF28))</f>
        <v/>
      </c>
      <c r="W28" s="17">
        <f>IF(AND($U28="파견중",$T28&lt;&gt;""),$T28-TODAY(),"")</f>
        <v/>
      </c>
      <c r="X28" s="17">
        <f>IF(OR($B28="",TRIM($J28&amp;"")=""),"",SUMPRODUCT((파견수련계획!$Q$4:$Q$83=TRIM($J28&amp;""))*파견수련계획!$W$4:$W$83))</f>
        <v/>
      </c>
      <c r="Y28" s="10">
        <f>IF($B28="","",IF($AG28="","",IF(IF(TRIM($J28&amp;"")="",0,SUMPRODUCT((파견수련계획!$Q$4:$Q$83=TRIM($J28&amp;""))*파견수련계획!$AD$4:$AD$83))&gt;0,$AE28,IF(N($X28)&lt;=0,$AG28,IF($AH28+$AI28=DAY(EOMONTH(요약!$B$3,0)),IF(AND($AH28&gt;=요약!$E$3,$AI28&lt;요약!$E$3),"서울병원",IF(AND($AI28&gt;=요약!$E$3,$AH28&lt;요약!$E$3),"구리병원","⚠15일 판정불가(서울 "&amp;$AH28&amp;"일/구리 "&amp;$AI28&amp;"일)")),IF($AJ28="",$AE28,IF(INDEX(파견수련계획!$T$4:$T$83,$AJ28)="통합수련",INDEX(파견수련계획!$S$4:$S$83,$AJ28),$AE28)))))))</f>
        <v/>
      </c>
      <c r="Z28" s="19">
        <f>IF($B28="","",IF($AB28="","기본자료에 없는 사번",IF(COUNTIF($B$2:$B$61,$B28)&gt;1,"중복 사번",IF($AE28="","소속(입사장소) 입력",IF(IF(TRIM($J28&amp;"")="",0,SUMPRODUCT((파견수련계획!$Q$4:$Q$83=TRIM($J28&amp;""))*(파견수련계획!$AA$4:$AA$83&lt;&gt;"")))&gt;0,"파견수련계획 입력오류 확인",IF(LEFT($Y28,1)="⚠","서울·구리 15일 판정 불가(양쪽 모두 이상/미만)",IF(IF($AC28="",0,N(INDEX(인턴근무계획!$T$3:$T$62,$AC28)))&gt;0,"인턴계획 입력오류 확인",IF(AND($AC28&lt;&gt;"",$U28&lt;&gt;"파견중",$N28&lt;&gt;$AE28),"인턴 타지역 근무: 파견 여부 확인","정상"))))))))</f>
        <v/>
      </c>
      <c r="AA28" s="5" t="n"/>
      <c r="AB28" s="10">
        <f>IF($B28="","",IFERROR(MATCH($B28,기본자료!$B$2:$B$301,0),IFERROR(MATCH($B28&amp;"",기본자료!$B$2:$B$301,0),IFERROR(MATCH(VALUE($B28),기본자료!$B$2:$B$301,0),""))))</f>
        <v/>
      </c>
      <c r="AC28" s="10">
        <f>IF($B28="","",IFERROR(MATCH($B28,인턴근무계획!$D$3:$D$62,0),IFERROR(MATCH($B28&amp;"",인턴근무계획!$D$3:$D$62,0),IFERROR(MATCH(VALUE($B28),인턴근무계획!$D$3:$D$62,0),""))))</f>
        <v/>
      </c>
      <c r="AD28" s="10">
        <f>IF(OR($AC28="",인턴현황!$G$3=""),"",INDEX(인턴근무계획!$M$3:$R$62,$AC28,인턴현황!$G$3)&amp;"")</f>
        <v/>
      </c>
      <c r="AE28" s="10">
        <f>IF($B28="","",IF($M28&lt;&gt;"",$M28,IF($AF28&lt;&gt;"",IF(LEFT(INDEX(파견수련계획!$R$4:$R$83,$AF28),1)&lt;&gt;"⚠",INDEX(파견수련계획!$R$4:$R$83,$AF28),IF($H28="","",IF(RIGHT($H28,2)="병원",$H28,$H28&amp;"병원"))),IF($H28="","",IF(RIGHT($H28,2)="병원",$H28,$H28&amp;"병원")))))</f>
        <v/>
      </c>
      <c r="AF28" s="10">
        <f>IF(OR($B28="",TRIM($J28&amp;"")=""),"",IFERROR(MATCH(TRIM($J28&amp;"")&amp;"|파견중",파견수련계획!$Y$4:$Y$83,0),IFERROR(MATCH(TRIM($J28&amp;"")&amp;"|파견예정",파견수련계획!$Y$4:$Y$83,0),IFERROR(MATCH(TRIM($J28&amp;"")&amp;"|파견종료",파견수련계획!$Y$4:$Y$83,0),""))))</f>
        <v/>
      </c>
      <c r="AG28" s="10">
        <f>IF($B28="","",IF(AND(IF(OR($AC28="",인턴현황!$K$2=""),"",INDEX(인턴근무계획!$M$3:$R$62,$AC28,인턴현황!$K$2)&amp;"")&lt;&gt;"",LEFT(IF(OR($AC28="",인턴현황!$K$2=""),"",INDEX(인턴근무계획!$M$3:$R$62,$AC28,인턴현황!$K$2)&amp;""),1)&lt;&gt;"⚠"),LEFT(IF(OR($AC28="",인턴현황!$K$2=""),"",INDEX(인턴근무계획!$M$3:$R$62,$AC28,인턴현황!$K$2)&amp;""),FIND(" ",IF(OR($AC28="",인턴현황!$K$2=""),"",INDEX(인턴근무계획!$M$3:$R$62,$AC28,인턴현황!$K$2)&amp;""))-1),$AE28))</f>
        <v/>
      </c>
      <c r="AH28" s="17">
        <f>IF($B28="","",IF(TRIM($J28&amp;"")="",0,SUMPRODUCT((파견수련계획!$Q$4:$Q$83=TRIM($J28&amp;""))*(파견수련계획!$S$4:$S$83="서울병원")*파견수련계획!$W$4:$W$83))+IF($AG28="서울병원",MAX(0,DAY(EOMONTH(요약!$B$3,0))-N($X28)),0))</f>
        <v/>
      </c>
      <c r="AI28" s="17">
        <f>IF($B28="","",IF(TRIM($J28&amp;"")="",0,SUMPRODUCT((파견수련계획!$Q$4:$Q$83=TRIM($J28&amp;""))*(파견수련계획!$S$4:$S$83="구리병원")*파견수련계획!$W$4:$W$83))+IF($AG28="구리병원",MAX(0,DAY(EOMONTH(요약!$B$3,0))-N($X28)),0))</f>
        <v/>
      </c>
      <c r="AJ28" s="10">
        <f>IF(OR($B28="",TRIM($J28&amp;"")=""),"",IFERROR(MATCH(TRIM($J28&amp;"")&amp;"|월",파견수련계획!$Z$4:$Z$83,0),""))</f>
        <v/>
      </c>
      <c r="AK28" s="10">
        <f>IF(OR($B28="",TRIM($J28&amp;"")=""),"",IFERROR(MATCH(TRIM($J28&amp;"")&amp;"|다기관",파견수련계획!$AE$4:$AE$83,0),""))</f>
        <v/>
      </c>
      <c r="AL28" s="10">
        <f>IF($AK28="","","다기관 "&amp;TEXT(INDEX(파견수련계획!$AB$4:$AB$83,$AK28),"yyyy-mm-dd")&amp;"~"&amp;IF(ISNUMBER(INDEX(파견수련계획!$AC$4:$AC$83,$AK28)),TEXT(INDEX(파견수련계획!$AC$4:$AC$83,$AK28),"yyyy-mm-dd"),""))</f>
        <v/>
      </c>
    </row>
    <row r="29">
      <c r="A29" s="10">
        <f>IF(B29="","",ROW()-1)</f>
        <v/>
      </c>
      <c r="B29" s="18" t="n"/>
      <c r="C29" s="10">
        <f>IF($AB29="","",IF(INDEX(기본자료!$C$2:$C$301,$AB29)="","",INDEX(기본자료!$C$2:$C$301,$AB29)))</f>
        <v/>
      </c>
      <c r="D29" s="10">
        <f>IF($AB29="","",IF(INDEX(기본자료!$J$2:$J$301,$AB29)="","",INDEX(기본자료!$J$2:$J$301,$AB29)))</f>
        <v/>
      </c>
      <c r="E29" s="11">
        <f>IF($AB29="","",IF(INDEX(기본자료!$K$2:$K$301,$AB29)="","",IF(NOT(ISNUMBER(INDEX(기본자료!$K$2:$K$301,$AB29))),INDEX(기본자료!$K$2:$K$301,$AB29),IF(INDEX(기본자료!$K$2:$K$301,$AB29)&lt;1000000,INDEX(기본자료!$K$2:$K$301,$AB29),IF(AND(INDEX(기본자료!$K$2:$K$301,$AB29)&gt;=10000101,INT(MOD(INDEX(기본자료!$K$2:$K$301,$AB29),10000)/100)&gt;=1,INT(MOD(INDEX(기본자료!$K$2:$K$301,$AB29),10000)/100)&lt;=12,MOD(INDEX(기본자료!$K$2:$K$301,$AB29),100)&gt;=1,MOD(INDEX(기본자료!$K$2:$K$301,$AB29),100)&lt;=31),DATE(INT(INDEX(기본자료!$K$2:$K$301,$AB29)/10000),INT(MOD(INDEX(기본자료!$K$2:$K$301,$AB29),10000)/100),MOD(INDEX(기본자료!$K$2:$K$301,$AB29),100)),INDEX(기본자료!$K$2:$K$301,$AB29)&amp;"")))))</f>
        <v/>
      </c>
      <c r="F29" s="10">
        <f>IF($AB29="","",IF(INDEX(기본자료!$D$2:$D$301,$AB29)="","",INDEX(기본자료!$D$2:$D$301,$AB29)))</f>
        <v/>
      </c>
      <c r="G29" s="10">
        <f>IF($AB29="","",IF(INDEX(기본자료!$E$2:$E$301,$AB29)="","",INDEX(기본자료!$E$2:$E$301,$AB29)))</f>
        <v/>
      </c>
      <c r="H29" s="10">
        <f>IF($AB29="","",IF(INDEX(기본자료!$F$2:$F$301,$AB29)="","",INDEX(기본자료!$F$2:$F$301,$AB29)))</f>
        <v/>
      </c>
      <c r="I29" s="11">
        <f>IF($AB29="","",IF(INDEX(기본자료!$G$2:$G$301,$AB29)="","",IF(NOT(ISNUMBER(INDEX(기본자료!$G$2:$G$301,$AB29))),INDEX(기본자료!$G$2:$G$301,$AB29),IF(INDEX(기본자료!$G$2:$G$301,$AB29)&lt;1000000,INDEX(기본자료!$G$2:$G$301,$AB29),IF(AND(INDEX(기본자료!$G$2:$G$301,$AB29)&gt;=10000101,INT(MOD(INDEX(기본자료!$G$2:$G$301,$AB29),10000)/100)&gt;=1,INT(MOD(INDEX(기본자료!$G$2:$G$301,$AB29),10000)/100)&lt;=12,MOD(INDEX(기본자료!$G$2:$G$301,$AB29),100)&gt;=1,MOD(INDEX(기본자료!$G$2:$G$301,$AB29),100)&lt;=31),DATE(INT(INDEX(기본자료!$G$2:$G$301,$AB29)/10000),INT(MOD(INDEX(기본자료!$G$2:$G$301,$AB29),10000)/100),MOD(INDEX(기본자료!$G$2:$G$301,$AB29),100)),INDEX(기본자료!$G$2:$G$301,$AB29)&amp;"")))))</f>
        <v/>
      </c>
      <c r="J29" s="10">
        <f>IF($AB29="","",IF(INDEX(기본자료!$H$2:$H$301,$AB29)="","",INDEX(기본자료!$H$2:$H$301,$AB29)))</f>
        <v/>
      </c>
      <c r="K29" s="10">
        <f>IF($AB29="","",IF(INDEX(기본자료!$I$2:$I$301,$AB29)="","",INDEX(기본자료!$I$2:$I$301,$AB29)))</f>
        <v/>
      </c>
      <c r="L29" s="10">
        <f>IF($AB29="","",IF(INDEX(기본자료!$A$2:$A$301,$AB29)="","",INDEX(기본자료!$A$2:$A$301,$AB29)))</f>
        <v/>
      </c>
      <c r="M29" s="15" t="n"/>
      <c r="N29" s="10">
        <f>IF($B29="","",IF(AND($U29="파견중",$Q29&lt;&gt;""),$Q29,IF(AND($AD29&lt;&gt;"",LEFT($AD29,1)&lt;&gt;"⚠"),LEFT($AD29,FIND(" ",$AD29)-1),IF($H29="","",IF(RIGHT($H29,2)="병원",$H29,$H29&amp;"병원")))))</f>
        <v/>
      </c>
      <c r="O29" s="10">
        <f>IF($B29="","",IF(AND($U29="파견중",$Q29&lt;&gt;""),IF($R29&lt;&gt;"",$R29,"파견과 미입력"),IF(AND($AD29&lt;&gt;"",LEFT($AD29,1)&lt;&gt;"⚠"),MID($AD29,FIND(" ",$AD29)+1,60),IF($F29="","",IF($F29="인턴","수련교육부(인턴)",$F29)))))</f>
        <v/>
      </c>
      <c r="P29" s="10">
        <f>IF($B29="","",IF($AK29&lt;&gt;"",IF(AND(TODAY()&gt;=INDEX(파견수련계획!$AB$4:$AB$83,$AK29),OR(NOT(ISNUMBER(INDEX(파견수련계획!$AC$4:$AC$83,$AK29))),TODAY()&lt;=INDEX(파견수련계획!$AC$4:$AC$83,$AK29))),"다기관",IF($AF29="","",INDEX(파견수련계획!$T$4:$T$83,$AF29))),IF($AF29="","",INDEX(파견수련계획!$T$4:$T$83,$AF29))))</f>
        <v/>
      </c>
      <c r="Q29" s="10">
        <f>IF($AF29="","",INDEX(파견수련계획!$S$4:$S$83,$AF29))</f>
        <v/>
      </c>
      <c r="R29" s="10">
        <f>IF($AF29="","",INDEX(파견수련계획!$U$4:$U$83,$AF29))</f>
        <v/>
      </c>
      <c r="S29" s="11">
        <f>IF($AF29="","",IF(INDEX(파견수련계획!$H$4:$H$83,$AF29)="","",INDEX(파견수련계획!$H$4:$H$83,$AF29)))</f>
        <v/>
      </c>
      <c r="T29" s="11">
        <f>IF($AF29="","",IF(INDEX(파견수련계획!$I$4:$I$83,$AF29)="","",INDEX(파견수련계획!$I$4:$I$83,$AF29)))</f>
        <v/>
      </c>
      <c r="U29" s="10">
        <f>IF($AF29="","",INDEX(파견수련계획!$X$4:$X$83,$AF29))</f>
        <v/>
      </c>
      <c r="V29" s="17">
        <f>IF($AF29="","",INDEX(파견수련계획!$V$4:$V$83,$AF29))</f>
        <v/>
      </c>
      <c r="W29" s="17">
        <f>IF(AND($U29="파견중",$T29&lt;&gt;""),$T29-TODAY(),"")</f>
        <v/>
      </c>
      <c r="X29" s="17">
        <f>IF(OR($B29="",TRIM($J29&amp;"")=""),"",SUMPRODUCT((파견수련계획!$Q$4:$Q$83=TRIM($J29&amp;""))*파견수련계획!$W$4:$W$83))</f>
        <v/>
      </c>
      <c r="Y29" s="10">
        <f>IF($B29="","",IF($AG29="","",IF(IF(TRIM($J29&amp;"")="",0,SUMPRODUCT((파견수련계획!$Q$4:$Q$83=TRIM($J29&amp;""))*파견수련계획!$AD$4:$AD$83))&gt;0,$AE29,IF(N($X29)&lt;=0,$AG29,IF($AH29+$AI29=DAY(EOMONTH(요약!$B$3,0)),IF(AND($AH29&gt;=요약!$E$3,$AI29&lt;요약!$E$3),"서울병원",IF(AND($AI29&gt;=요약!$E$3,$AH29&lt;요약!$E$3),"구리병원","⚠15일 판정불가(서울 "&amp;$AH29&amp;"일/구리 "&amp;$AI29&amp;"일)")),IF($AJ29="",$AE29,IF(INDEX(파견수련계획!$T$4:$T$83,$AJ29)="통합수련",INDEX(파견수련계획!$S$4:$S$83,$AJ29),$AE29)))))))</f>
        <v/>
      </c>
      <c r="Z29" s="19">
        <f>IF($B29="","",IF($AB29="","기본자료에 없는 사번",IF(COUNTIF($B$2:$B$61,$B29)&gt;1,"중복 사번",IF($AE29="","소속(입사장소) 입력",IF(IF(TRIM($J29&amp;"")="",0,SUMPRODUCT((파견수련계획!$Q$4:$Q$83=TRIM($J29&amp;""))*(파견수련계획!$AA$4:$AA$83&lt;&gt;"")))&gt;0,"파견수련계획 입력오류 확인",IF(LEFT($Y29,1)="⚠","서울·구리 15일 판정 불가(양쪽 모두 이상/미만)",IF(IF($AC29="",0,N(INDEX(인턴근무계획!$T$3:$T$62,$AC29)))&gt;0,"인턴계획 입력오류 확인",IF(AND($AC29&lt;&gt;"",$U29&lt;&gt;"파견중",$N29&lt;&gt;$AE29),"인턴 타지역 근무: 파견 여부 확인","정상"))))))))</f>
        <v/>
      </c>
      <c r="AA29" s="5" t="n"/>
      <c r="AB29" s="10">
        <f>IF($B29="","",IFERROR(MATCH($B29,기본자료!$B$2:$B$301,0),IFERROR(MATCH($B29&amp;"",기본자료!$B$2:$B$301,0),IFERROR(MATCH(VALUE($B29),기본자료!$B$2:$B$301,0),""))))</f>
        <v/>
      </c>
      <c r="AC29" s="10">
        <f>IF($B29="","",IFERROR(MATCH($B29,인턴근무계획!$D$3:$D$62,0),IFERROR(MATCH($B29&amp;"",인턴근무계획!$D$3:$D$62,0),IFERROR(MATCH(VALUE($B29),인턴근무계획!$D$3:$D$62,0),""))))</f>
        <v/>
      </c>
      <c r="AD29" s="10">
        <f>IF(OR($AC29="",인턴현황!$G$3=""),"",INDEX(인턴근무계획!$M$3:$R$62,$AC29,인턴현황!$G$3)&amp;"")</f>
        <v/>
      </c>
      <c r="AE29" s="10">
        <f>IF($B29="","",IF($M29&lt;&gt;"",$M29,IF($AF29&lt;&gt;"",IF(LEFT(INDEX(파견수련계획!$R$4:$R$83,$AF29),1)&lt;&gt;"⚠",INDEX(파견수련계획!$R$4:$R$83,$AF29),IF($H29="","",IF(RIGHT($H29,2)="병원",$H29,$H29&amp;"병원"))),IF($H29="","",IF(RIGHT($H29,2)="병원",$H29,$H29&amp;"병원")))))</f>
        <v/>
      </c>
      <c r="AF29" s="10">
        <f>IF(OR($B29="",TRIM($J29&amp;"")=""),"",IFERROR(MATCH(TRIM($J29&amp;"")&amp;"|파견중",파견수련계획!$Y$4:$Y$83,0),IFERROR(MATCH(TRIM($J29&amp;"")&amp;"|파견예정",파견수련계획!$Y$4:$Y$83,0),IFERROR(MATCH(TRIM($J29&amp;"")&amp;"|파견종료",파견수련계획!$Y$4:$Y$83,0),""))))</f>
        <v/>
      </c>
      <c r="AG29" s="10">
        <f>IF($B29="","",IF(AND(IF(OR($AC29="",인턴현황!$K$2=""),"",INDEX(인턴근무계획!$M$3:$R$62,$AC29,인턴현황!$K$2)&amp;"")&lt;&gt;"",LEFT(IF(OR($AC29="",인턴현황!$K$2=""),"",INDEX(인턴근무계획!$M$3:$R$62,$AC29,인턴현황!$K$2)&amp;""),1)&lt;&gt;"⚠"),LEFT(IF(OR($AC29="",인턴현황!$K$2=""),"",INDEX(인턴근무계획!$M$3:$R$62,$AC29,인턴현황!$K$2)&amp;""),FIND(" ",IF(OR($AC29="",인턴현황!$K$2=""),"",INDEX(인턴근무계획!$M$3:$R$62,$AC29,인턴현황!$K$2)&amp;""))-1),$AE29))</f>
        <v/>
      </c>
      <c r="AH29" s="17">
        <f>IF($B29="","",IF(TRIM($J29&amp;"")="",0,SUMPRODUCT((파견수련계획!$Q$4:$Q$83=TRIM($J29&amp;""))*(파견수련계획!$S$4:$S$83="서울병원")*파견수련계획!$W$4:$W$83))+IF($AG29="서울병원",MAX(0,DAY(EOMONTH(요약!$B$3,0))-N($X29)),0))</f>
        <v/>
      </c>
      <c r="AI29" s="17">
        <f>IF($B29="","",IF(TRIM($J29&amp;"")="",0,SUMPRODUCT((파견수련계획!$Q$4:$Q$83=TRIM($J29&amp;""))*(파견수련계획!$S$4:$S$83="구리병원")*파견수련계획!$W$4:$W$83))+IF($AG29="구리병원",MAX(0,DAY(EOMONTH(요약!$B$3,0))-N($X29)),0))</f>
        <v/>
      </c>
      <c r="AJ29" s="10">
        <f>IF(OR($B29="",TRIM($J29&amp;"")=""),"",IFERROR(MATCH(TRIM($J29&amp;"")&amp;"|월",파견수련계획!$Z$4:$Z$83,0),""))</f>
        <v/>
      </c>
      <c r="AK29" s="10">
        <f>IF(OR($B29="",TRIM($J29&amp;"")=""),"",IFERROR(MATCH(TRIM($J29&amp;"")&amp;"|다기관",파견수련계획!$AE$4:$AE$83,0),""))</f>
        <v/>
      </c>
      <c r="AL29" s="10">
        <f>IF($AK29="","","다기관 "&amp;TEXT(INDEX(파견수련계획!$AB$4:$AB$83,$AK29),"yyyy-mm-dd")&amp;"~"&amp;IF(ISNUMBER(INDEX(파견수련계획!$AC$4:$AC$83,$AK29)),TEXT(INDEX(파견수련계획!$AC$4:$AC$83,$AK29),"yyyy-mm-dd"),""))</f>
        <v/>
      </c>
    </row>
    <row r="30">
      <c r="A30" s="10">
        <f>IF(B30="","",ROW()-1)</f>
        <v/>
      </c>
      <c r="B30" s="18" t="n"/>
      <c r="C30" s="10">
        <f>IF($AB30="","",IF(INDEX(기본자료!$C$2:$C$301,$AB30)="","",INDEX(기본자료!$C$2:$C$301,$AB30)))</f>
        <v/>
      </c>
      <c r="D30" s="10">
        <f>IF($AB30="","",IF(INDEX(기본자료!$J$2:$J$301,$AB30)="","",INDEX(기본자료!$J$2:$J$301,$AB30)))</f>
        <v/>
      </c>
      <c r="E30" s="11">
        <f>IF($AB30="","",IF(INDEX(기본자료!$K$2:$K$301,$AB30)="","",IF(NOT(ISNUMBER(INDEX(기본자료!$K$2:$K$301,$AB30))),INDEX(기본자료!$K$2:$K$301,$AB30),IF(INDEX(기본자료!$K$2:$K$301,$AB30)&lt;1000000,INDEX(기본자료!$K$2:$K$301,$AB30),IF(AND(INDEX(기본자료!$K$2:$K$301,$AB30)&gt;=10000101,INT(MOD(INDEX(기본자료!$K$2:$K$301,$AB30),10000)/100)&gt;=1,INT(MOD(INDEX(기본자료!$K$2:$K$301,$AB30),10000)/100)&lt;=12,MOD(INDEX(기본자료!$K$2:$K$301,$AB30),100)&gt;=1,MOD(INDEX(기본자료!$K$2:$K$301,$AB30),100)&lt;=31),DATE(INT(INDEX(기본자료!$K$2:$K$301,$AB30)/10000),INT(MOD(INDEX(기본자료!$K$2:$K$301,$AB30),10000)/100),MOD(INDEX(기본자료!$K$2:$K$301,$AB30),100)),INDEX(기본자료!$K$2:$K$301,$AB30)&amp;"")))))</f>
        <v/>
      </c>
      <c r="F30" s="10">
        <f>IF($AB30="","",IF(INDEX(기본자료!$D$2:$D$301,$AB30)="","",INDEX(기본자료!$D$2:$D$301,$AB30)))</f>
        <v/>
      </c>
      <c r="G30" s="10">
        <f>IF($AB30="","",IF(INDEX(기본자료!$E$2:$E$301,$AB30)="","",INDEX(기본자료!$E$2:$E$301,$AB30)))</f>
        <v/>
      </c>
      <c r="H30" s="10">
        <f>IF($AB30="","",IF(INDEX(기본자료!$F$2:$F$301,$AB30)="","",INDEX(기본자료!$F$2:$F$301,$AB30)))</f>
        <v/>
      </c>
      <c r="I30" s="11">
        <f>IF($AB30="","",IF(INDEX(기본자료!$G$2:$G$301,$AB30)="","",IF(NOT(ISNUMBER(INDEX(기본자료!$G$2:$G$301,$AB30))),INDEX(기본자료!$G$2:$G$301,$AB30),IF(INDEX(기본자료!$G$2:$G$301,$AB30)&lt;1000000,INDEX(기본자료!$G$2:$G$301,$AB30),IF(AND(INDEX(기본자료!$G$2:$G$301,$AB30)&gt;=10000101,INT(MOD(INDEX(기본자료!$G$2:$G$301,$AB30),10000)/100)&gt;=1,INT(MOD(INDEX(기본자료!$G$2:$G$301,$AB30),10000)/100)&lt;=12,MOD(INDEX(기본자료!$G$2:$G$301,$AB30),100)&gt;=1,MOD(INDEX(기본자료!$G$2:$G$301,$AB30),100)&lt;=31),DATE(INT(INDEX(기본자료!$G$2:$G$301,$AB30)/10000),INT(MOD(INDEX(기본자료!$G$2:$G$301,$AB30),10000)/100),MOD(INDEX(기본자료!$G$2:$G$301,$AB30),100)),INDEX(기본자료!$G$2:$G$301,$AB30)&amp;"")))))</f>
        <v/>
      </c>
      <c r="J30" s="10">
        <f>IF($AB30="","",IF(INDEX(기본자료!$H$2:$H$301,$AB30)="","",INDEX(기본자료!$H$2:$H$301,$AB30)))</f>
        <v/>
      </c>
      <c r="K30" s="10">
        <f>IF($AB30="","",IF(INDEX(기본자료!$I$2:$I$301,$AB30)="","",INDEX(기본자료!$I$2:$I$301,$AB30)))</f>
        <v/>
      </c>
      <c r="L30" s="10">
        <f>IF($AB30="","",IF(INDEX(기본자료!$A$2:$A$301,$AB30)="","",INDEX(기본자료!$A$2:$A$301,$AB30)))</f>
        <v/>
      </c>
      <c r="M30" s="15" t="n"/>
      <c r="N30" s="10">
        <f>IF($B30="","",IF(AND($U30="파견중",$Q30&lt;&gt;""),$Q30,IF(AND($AD30&lt;&gt;"",LEFT($AD30,1)&lt;&gt;"⚠"),LEFT($AD30,FIND(" ",$AD30)-1),IF($H30="","",IF(RIGHT($H30,2)="병원",$H30,$H30&amp;"병원")))))</f>
        <v/>
      </c>
      <c r="O30" s="10">
        <f>IF($B30="","",IF(AND($U30="파견중",$Q30&lt;&gt;""),IF($R30&lt;&gt;"",$R30,"파견과 미입력"),IF(AND($AD30&lt;&gt;"",LEFT($AD30,1)&lt;&gt;"⚠"),MID($AD30,FIND(" ",$AD30)+1,60),IF($F30="","",IF($F30="인턴","수련교육부(인턴)",$F30)))))</f>
        <v/>
      </c>
      <c r="P30" s="10">
        <f>IF($B30="","",IF($AK30&lt;&gt;"",IF(AND(TODAY()&gt;=INDEX(파견수련계획!$AB$4:$AB$83,$AK30),OR(NOT(ISNUMBER(INDEX(파견수련계획!$AC$4:$AC$83,$AK30))),TODAY()&lt;=INDEX(파견수련계획!$AC$4:$AC$83,$AK30))),"다기관",IF($AF30="","",INDEX(파견수련계획!$T$4:$T$83,$AF30))),IF($AF30="","",INDEX(파견수련계획!$T$4:$T$83,$AF30))))</f>
        <v/>
      </c>
      <c r="Q30" s="10">
        <f>IF($AF30="","",INDEX(파견수련계획!$S$4:$S$83,$AF30))</f>
        <v/>
      </c>
      <c r="R30" s="10">
        <f>IF($AF30="","",INDEX(파견수련계획!$U$4:$U$83,$AF30))</f>
        <v/>
      </c>
      <c r="S30" s="11">
        <f>IF($AF30="","",IF(INDEX(파견수련계획!$H$4:$H$83,$AF30)="","",INDEX(파견수련계획!$H$4:$H$83,$AF30)))</f>
        <v/>
      </c>
      <c r="T30" s="11">
        <f>IF($AF30="","",IF(INDEX(파견수련계획!$I$4:$I$83,$AF30)="","",INDEX(파견수련계획!$I$4:$I$83,$AF30)))</f>
        <v/>
      </c>
      <c r="U30" s="10">
        <f>IF($AF30="","",INDEX(파견수련계획!$X$4:$X$83,$AF30))</f>
        <v/>
      </c>
      <c r="V30" s="17">
        <f>IF($AF30="","",INDEX(파견수련계획!$V$4:$V$83,$AF30))</f>
        <v/>
      </c>
      <c r="W30" s="17">
        <f>IF(AND($U30="파견중",$T30&lt;&gt;""),$T30-TODAY(),"")</f>
        <v/>
      </c>
      <c r="X30" s="17">
        <f>IF(OR($B30="",TRIM($J30&amp;"")=""),"",SUMPRODUCT((파견수련계획!$Q$4:$Q$83=TRIM($J30&amp;""))*파견수련계획!$W$4:$W$83))</f>
        <v/>
      </c>
      <c r="Y30" s="10">
        <f>IF($B30="","",IF($AG30="","",IF(IF(TRIM($J30&amp;"")="",0,SUMPRODUCT((파견수련계획!$Q$4:$Q$83=TRIM($J30&amp;""))*파견수련계획!$AD$4:$AD$83))&gt;0,$AE30,IF(N($X30)&lt;=0,$AG30,IF($AH30+$AI30=DAY(EOMONTH(요약!$B$3,0)),IF(AND($AH30&gt;=요약!$E$3,$AI30&lt;요약!$E$3),"서울병원",IF(AND($AI30&gt;=요약!$E$3,$AH30&lt;요약!$E$3),"구리병원","⚠15일 판정불가(서울 "&amp;$AH30&amp;"일/구리 "&amp;$AI30&amp;"일)")),IF($AJ30="",$AE30,IF(INDEX(파견수련계획!$T$4:$T$83,$AJ30)="통합수련",INDEX(파견수련계획!$S$4:$S$83,$AJ30),$AE30)))))))</f>
        <v/>
      </c>
      <c r="Z30" s="19">
        <f>IF($B30="","",IF($AB30="","기본자료에 없는 사번",IF(COUNTIF($B$2:$B$61,$B30)&gt;1,"중복 사번",IF($AE30="","소속(입사장소) 입력",IF(IF(TRIM($J30&amp;"")="",0,SUMPRODUCT((파견수련계획!$Q$4:$Q$83=TRIM($J30&amp;""))*(파견수련계획!$AA$4:$AA$83&lt;&gt;"")))&gt;0,"파견수련계획 입력오류 확인",IF(LEFT($Y30,1)="⚠","서울·구리 15일 판정 불가(양쪽 모두 이상/미만)",IF(IF($AC30="",0,N(INDEX(인턴근무계획!$T$3:$T$62,$AC30)))&gt;0,"인턴계획 입력오류 확인",IF(AND($AC30&lt;&gt;"",$U30&lt;&gt;"파견중",$N30&lt;&gt;$AE30),"인턴 타지역 근무: 파견 여부 확인","정상"))))))))</f>
        <v/>
      </c>
      <c r="AA30" s="5" t="n"/>
      <c r="AB30" s="10">
        <f>IF($B30="","",IFERROR(MATCH($B30,기본자료!$B$2:$B$301,0),IFERROR(MATCH($B30&amp;"",기본자료!$B$2:$B$301,0),IFERROR(MATCH(VALUE($B30),기본자료!$B$2:$B$301,0),""))))</f>
        <v/>
      </c>
      <c r="AC30" s="10">
        <f>IF($B30="","",IFERROR(MATCH($B30,인턴근무계획!$D$3:$D$62,0),IFERROR(MATCH($B30&amp;"",인턴근무계획!$D$3:$D$62,0),IFERROR(MATCH(VALUE($B30),인턴근무계획!$D$3:$D$62,0),""))))</f>
        <v/>
      </c>
      <c r="AD30" s="10">
        <f>IF(OR($AC30="",인턴현황!$G$3=""),"",INDEX(인턴근무계획!$M$3:$R$62,$AC30,인턴현황!$G$3)&amp;"")</f>
        <v/>
      </c>
      <c r="AE30" s="10">
        <f>IF($B30="","",IF($M30&lt;&gt;"",$M30,IF($AF30&lt;&gt;"",IF(LEFT(INDEX(파견수련계획!$R$4:$R$83,$AF30),1)&lt;&gt;"⚠",INDEX(파견수련계획!$R$4:$R$83,$AF30),IF($H30="","",IF(RIGHT($H30,2)="병원",$H30,$H30&amp;"병원"))),IF($H30="","",IF(RIGHT($H30,2)="병원",$H30,$H30&amp;"병원")))))</f>
        <v/>
      </c>
      <c r="AF30" s="10">
        <f>IF(OR($B30="",TRIM($J30&amp;"")=""),"",IFERROR(MATCH(TRIM($J30&amp;"")&amp;"|파견중",파견수련계획!$Y$4:$Y$83,0),IFERROR(MATCH(TRIM($J30&amp;"")&amp;"|파견예정",파견수련계획!$Y$4:$Y$83,0),IFERROR(MATCH(TRIM($J30&amp;"")&amp;"|파견종료",파견수련계획!$Y$4:$Y$83,0),""))))</f>
        <v/>
      </c>
      <c r="AG30" s="10">
        <f>IF($B30="","",IF(AND(IF(OR($AC30="",인턴현황!$K$2=""),"",INDEX(인턴근무계획!$M$3:$R$62,$AC30,인턴현황!$K$2)&amp;"")&lt;&gt;"",LEFT(IF(OR($AC30="",인턴현황!$K$2=""),"",INDEX(인턴근무계획!$M$3:$R$62,$AC30,인턴현황!$K$2)&amp;""),1)&lt;&gt;"⚠"),LEFT(IF(OR($AC30="",인턴현황!$K$2=""),"",INDEX(인턴근무계획!$M$3:$R$62,$AC30,인턴현황!$K$2)&amp;""),FIND(" ",IF(OR($AC30="",인턴현황!$K$2=""),"",INDEX(인턴근무계획!$M$3:$R$62,$AC30,인턴현황!$K$2)&amp;""))-1),$AE30))</f>
        <v/>
      </c>
      <c r="AH30" s="17">
        <f>IF($B30="","",IF(TRIM($J30&amp;"")="",0,SUMPRODUCT((파견수련계획!$Q$4:$Q$83=TRIM($J30&amp;""))*(파견수련계획!$S$4:$S$83="서울병원")*파견수련계획!$W$4:$W$83))+IF($AG30="서울병원",MAX(0,DAY(EOMONTH(요약!$B$3,0))-N($X30)),0))</f>
        <v/>
      </c>
      <c r="AI30" s="17">
        <f>IF($B30="","",IF(TRIM($J30&amp;"")="",0,SUMPRODUCT((파견수련계획!$Q$4:$Q$83=TRIM($J30&amp;""))*(파견수련계획!$S$4:$S$83="구리병원")*파견수련계획!$W$4:$W$83))+IF($AG30="구리병원",MAX(0,DAY(EOMONTH(요약!$B$3,0))-N($X30)),0))</f>
        <v/>
      </c>
      <c r="AJ30" s="10">
        <f>IF(OR($B30="",TRIM($J30&amp;"")=""),"",IFERROR(MATCH(TRIM($J30&amp;"")&amp;"|월",파견수련계획!$Z$4:$Z$83,0),""))</f>
        <v/>
      </c>
      <c r="AK30" s="10">
        <f>IF(OR($B30="",TRIM($J30&amp;"")=""),"",IFERROR(MATCH(TRIM($J30&amp;"")&amp;"|다기관",파견수련계획!$AE$4:$AE$83,0),""))</f>
        <v/>
      </c>
      <c r="AL30" s="10">
        <f>IF($AK30="","","다기관 "&amp;TEXT(INDEX(파견수련계획!$AB$4:$AB$83,$AK30),"yyyy-mm-dd")&amp;"~"&amp;IF(ISNUMBER(INDEX(파견수련계획!$AC$4:$AC$83,$AK30)),TEXT(INDEX(파견수련계획!$AC$4:$AC$83,$AK30),"yyyy-mm-dd"),""))</f>
        <v/>
      </c>
    </row>
    <row r="31">
      <c r="A31" s="10">
        <f>IF(B31="","",ROW()-1)</f>
        <v/>
      </c>
      <c r="B31" s="18" t="n"/>
      <c r="C31" s="10">
        <f>IF($AB31="","",IF(INDEX(기본자료!$C$2:$C$301,$AB31)="","",INDEX(기본자료!$C$2:$C$301,$AB31)))</f>
        <v/>
      </c>
      <c r="D31" s="10">
        <f>IF($AB31="","",IF(INDEX(기본자료!$J$2:$J$301,$AB31)="","",INDEX(기본자료!$J$2:$J$301,$AB31)))</f>
        <v/>
      </c>
      <c r="E31" s="11">
        <f>IF($AB31="","",IF(INDEX(기본자료!$K$2:$K$301,$AB31)="","",IF(NOT(ISNUMBER(INDEX(기본자료!$K$2:$K$301,$AB31))),INDEX(기본자료!$K$2:$K$301,$AB31),IF(INDEX(기본자료!$K$2:$K$301,$AB31)&lt;1000000,INDEX(기본자료!$K$2:$K$301,$AB31),IF(AND(INDEX(기본자료!$K$2:$K$301,$AB31)&gt;=10000101,INT(MOD(INDEX(기본자료!$K$2:$K$301,$AB31),10000)/100)&gt;=1,INT(MOD(INDEX(기본자료!$K$2:$K$301,$AB31),10000)/100)&lt;=12,MOD(INDEX(기본자료!$K$2:$K$301,$AB31),100)&gt;=1,MOD(INDEX(기본자료!$K$2:$K$301,$AB31),100)&lt;=31),DATE(INT(INDEX(기본자료!$K$2:$K$301,$AB31)/10000),INT(MOD(INDEX(기본자료!$K$2:$K$301,$AB31),10000)/100),MOD(INDEX(기본자료!$K$2:$K$301,$AB31),100)),INDEX(기본자료!$K$2:$K$301,$AB31)&amp;"")))))</f>
        <v/>
      </c>
      <c r="F31" s="10">
        <f>IF($AB31="","",IF(INDEX(기본자료!$D$2:$D$301,$AB31)="","",INDEX(기본자료!$D$2:$D$301,$AB31)))</f>
        <v/>
      </c>
      <c r="G31" s="10">
        <f>IF($AB31="","",IF(INDEX(기본자료!$E$2:$E$301,$AB31)="","",INDEX(기본자료!$E$2:$E$301,$AB31)))</f>
        <v/>
      </c>
      <c r="H31" s="10">
        <f>IF($AB31="","",IF(INDEX(기본자료!$F$2:$F$301,$AB31)="","",INDEX(기본자료!$F$2:$F$301,$AB31)))</f>
        <v/>
      </c>
      <c r="I31" s="11">
        <f>IF($AB31="","",IF(INDEX(기본자료!$G$2:$G$301,$AB31)="","",IF(NOT(ISNUMBER(INDEX(기본자료!$G$2:$G$301,$AB31))),INDEX(기본자료!$G$2:$G$301,$AB31),IF(INDEX(기본자료!$G$2:$G$301,$AB31)&lt;1000000,INDEX(기본자료!$G$2:$G$301,$AB31),IF(AND(INDEX(기본자료!$G$2:$G$301,$AB31)&gt;=10000101,INT(MOD(INDEX(기본자료!$G$2:$G$301,$AB31),10000)/100)&gt;=1,INT(MOD(INDEX(기본자료!$G$2:$G$301,$AB31),10000)/100)&lt;=12,MOD(INDEX(기본자료!$G$2:$G$301,$AB31),100)&gt;=1,MOD(INDEX(기본자료!$G$2:$G$301,$AB31),100)&lt;=31),DATE(INT(INDEX(기본자료!$G$2:$G$301,$AB31)/10000),INT(MOD(INDEX(기본자료!$G$2:$G$301,$AB31),10000)/100),MOD(INDEX(기본자료!$G$2:$G$301,$AB31),100)),INDEX(기본자료!$G$2:$G$301,$AB31)&amp;"")))))</f>
        <v/>
      </c>
      <c r="J31" s="10">
        <f>IF($AB31="","",IF(INDEX(기본자료!$H$2:$H$301,$AB31)="","",INDEX(기본자료!$H$2:$H$301,$AB31)))</f>
        <v/>
      </c>
      <c r="K31" s="10">
        <f>IF($AB31="","",IF(INDEX(기본자료!$I$2:$I$301,$AB31)="","",INDEX(기본자료!$I$2:$I$301,$AB31)))</f>
        <v/>
      </c>
      <c r="L31" s="10">
        <f>IF($AB31="","",IF(INDEX(기본자료!$A$2:$A$301,$AB31)="","",INDEX(기본자료!$A$2:$A$301,$AB31)))</f>
        <v/>
      </c>
      <c r="M31" s="15" t="n"/>
      <c r="N31" s="10">
        <f>IF($B31="","",IF(AND($U31="파견중",$Q31&lt;&gt;""),$Q31,IF(AND($AD31&lt;&gt;"",LEFT($AD31,1)&lt;&gt;"⚠"),LEFT($AD31,FIND(" ",$AD31)-1),IF($H31="","",IF(RIGHT($H31,2)="병원",$H31,$H31&amp;"병원")))))</f>
        <v/>
      </c>
      <c r="O31" s="10">
        <f>IF($B31="","",IF(AND($U31="파견중",$Q31&lt;&gt;""),IF($R31&lt;&gt;"",$R31,"파견과 미입력"),IF(AND($AD31&lt;&gt;"",LEFT($AD31,1)&lt;&gt;"⚠"),MID($AD31,FIND(" ",$AD31)+1,60),IF($F31="","",IF($F31="인턴","수련교육부(인턴)",$F31)))))</f>
        <v/>
      </c>
      <c r="P31" s="10">
        <f>IF($B31="","",IF($AK31&lt;&gt;"",IF(AND(TODAY()&gt;=INDEX(파견수련계획!$AB$4:$AB$83,$AK31),OR(NOT(ISNUMBER(INDEX(파견수련계획!$AC$4:$AC$83,$AK31))),TODAY()&lt;=INDEX(파견수련계획!$AC$4:$AC$83,$AK31))),"다기관",IF($AF31="","",INDEX(파견수련계획!$T$4:$T$83,$AF31))),IF($AF31="","",INDEX(파견수련계획!$T$4:$T$83,$AF31))))</f>
        <v/>
      </c>
      <c r="Q31" s="10">
        <f>IF($AF31="","",INDEX(파견수련계획!$S$4:$S$83,$AF31))</f>
        <v/>
      </c>
      <c r="R31" s="10">
        <f>IF($AF31="","",INDEX(파견수련계획!$U$4:$U$83,$AF31))</f>
        <v/>
      </c>
      <c r="S31" s="11">
        <f>IF($AF31="","",IF(INDEX(파견수련계획!$H$4:$H$83,$AF31)="","",INDEX(파견수련계획!$H$4:$H$83,$AF31)))</f>
        <v/>
      </c>
      <c r="T31" s="11">
        <f>IF($AF31="","",IF(INDEX(파견수련계획!$I$4:$I$83,$AF31)="","",INDEX(파견수련계획!$I$4:$I$83,$AF31)))</f>
        <v/>
      </c>
      <c r="U31" s="10">
        <f>IF($AF31="","",INDEX(파견수련계획!$X$4:$X$83,$AF31))</f>
        <v/>
      </c>
      <c r="V31" s="17">
        <f>IF($AF31="","",INDEX(파견수련계획!$V$4:$V$83,$AF31))</f>
        <v/>
      </c>
      <c r="W31" s="17">
        <f>IF(AND($U31="파견중",$T31&lt;&gt;""),$T31-TODAY(),"")</f>
        <v/>
      </c>
      <c r="X31" s="17">
        <f>IF(OR($B31="",TRIM($J31&amp;"")=""),"",SUMPRODUCT((파견수련계획!$Q$4:$Q$83=TRIM($J31&amp;""))*파견수련계획!$W$4:$W$83))</f>
        <v/>
      </c>
      <c r="Y31" s="10">
        <f>IF($B31="","",IF($AG31="","",IF(IF(TRIM($J31&amp;"")="",0,SUMPRODUCT((파견수련계획!$Q$4:$Q$83=TRIM($J31&amp;""))*파견수련계획!$AD$4:$AD$83))&gt;0,$AE31,IF(N($X31)&lt;=0,$AG31,IF($AH31+$AI31=DAY(EOMONTH(요약!$B$3,0)),IF(AND($AH31&gt;=요약!$E$3,$AI31&lt;요약!$E$3),"서울병원",IF(AND($AI31&gt;=요약!$E$3,$AH31&lt;요약!$E$3),"구리병원","⚠15일 판정불가(서울 "&amp;$AH31&amp;"일/구리 "&amp;$AI31&amp;"일)")),IF($AJ31="",$AE31,IF(INDEX(파견수련계획!$T$4:$T$83,$AJ31)="통합수련",INDEX(파견수련계획!$S$4:$S$83,$AJ31),$AE31)))))))</f>
        <v/>
      </c>
      <c r="Z31" s="19">
        <f>IF($B31="","",IF($AB31="","기본자료에 없는 사번",IF(COUNTIF($B$2:$B$61,$B31)&gt;1,"중복 사번",IF($AE31="","소속(입사장소) 입력",IF(IF(TRIM($J31&amp;"")="",0,SUMPRODUCT((파견수련계획!$Q$4:$Q$83=TRIM($J31&amp;""))*(파견수련계획!$AA$4:$AA$83&lt;&gt;"")))&gt;0,"파견수련계획 입력오류 확인",IF(LEFT($Y31,1)="⚠","서울·구리 15일 판정 불가(양쪽 모두 이상/미만)",IF(IF($AC31="",0,N(INDEX(인턴근무계획!$T$3:$T$62,$AC31)))&gt;0,"인턴계획 입력오류 확인",IF(AND($AC31&lt;&gt;"",$U31&lt;&gt;"파견중",$N31&lt;&gt;$AE31),"인턴 타지역 근무: 파견 여부 확인","정상"))))))))</f>
        <v/>
      </c>
      <c r="AA31" s="5" t="n"/>
      <c r="AB31" s="10">
        <f>IF($B31="","",IFERROR(MATCH($B31,기본자료!$B$2:$B$301,0),IFERROR(MATCH($B31&amp;"",기본자료!$B$2:$B$301,0),IFERROR(MATCH(VALUE($B31),기본자료!$B$2:$B$301,0),""))))</f>
        <v/>
      </c>
      <c r="AC31" s="10">
        <f>IF($B31="","",IFERROR(MATCH($B31,인턴근무계획!$D$3:$D$62,0),IFERROR(MATCH($B31&amp;"",인턴근무계획!$D$3:$D$62,0),IFERROR(MATCH(VALUE($B31),인턴근무계획!$D$3:$D$62,0),""))))</f>
        <v/>
      </c>
      <c r="AD31" s="10">
        <f>IF(OR($AC31="",인턴현황!$G$3=""),"",INDEX(인턴근무계획!$M$3:$R$62,$AC31,인턴현황!$G$3)&amp;"")</f>
        <v/>
      </c>
      <c r="AE31" s="10">
        <f>IF($B31="","",IF($M31&lt;&gt;"",$M31,IF($AF31&lt;&gt;"",IF(LEFT(INDEX(파견수련계획!$R$4:$R$83,$AF31),1)&lt;&gt;"⚠",INDEX(파견수련계획!$R$4:$R$83,$AF31),IF($H31="","",IF(RIGHT($H31,2)="병원",$H31,$H31&amp;"병원"))),IF($H31="","",IF(RIGHT($H31,2)="병원",$H31,$H31&amp;"병원")))))</f>
        <v/>
      </c>
      <c r="AF31" s="10">
        <f>IF(OR($B31="",TRIM($J31&amp;"")=""),"",IFERROR(MATCH(TRIM($J31&amp;"")&amp;"|파견중",파견수련계획!$Y$4:$Y$83,0),IFERROR(MATCH(TRIM($J31&amp;"")&amp;"|파견예정",파견수련계획!$Y$4:$Y$83,0),IFERROR(MATCH(TRIM($J31&amp;"")&amp;"|파견종료",파견수련계획!$Y$4:$Y$83,0),""))))</f>
        <v/>
      </c>
      <c r="AG31" s="10">
        <f>IF($B31="","",IF(AND(IF(OR($AC31="",인턴현황!$K$2=""),"",INDEX(인턴근무계획!$M$3:$R$62,$AC31,인턴현황!$K$2)&amp;"")&lt;&gt;"",LEFT(IF(OR($AC31="",인턴현황!$K$2=""),"",INDEX(인턴근무계획!$M$3:$R$62,$AC31,인턴현황!$K$2)&amp;""),1)&lt;&gt;"⚠"),LEFT(IF(OR($AC31="",인턴현황!$K$2=""),"",INDEX(인턴근무계획!$M$3:$R$62,$AC31,인턴현황!$K$2)&amp;""),FIND(" ",IF(OR($AC31="",인턴현황!$K$2=""),"",INDEX(인턴근무계획!$M$3:$R$62,$AC31,인턴현황!$K$2)&amp;""))-1),$AE31))</f>
        <v/>
      </c>
      <c r="AH31" s="17">
        <f>IF($B31="","",IF(TRIM($J31&amp;"")="",0,SUMPRODUCT((파견수련계획!$Q$4:$Q$83=TRIM($J31&amp;""))*(파견수련계획!$S$4:$S$83="서울병원")*파견수련계획!$W$4:$W$83))+IF($AG31="서울병원",MAX(0,DAY(EOMONTH(요약!$B$3,0))-N($X31)),0))</f>
        <v/>
      </c>
      <c r="AI31" s="17">
        <f>IF($B31="","",IF(TRIM($J31&amp;"")="",0,SUMPRODUCT((파견수련계획!$Q$4:$Q$83=TRIM($J31&amp;""))*(파견수련계획!$S$4:$S$83="구리병원")*파견수련계획!$W$4:$W$83))+IF($AG31="구리병원",MAX(0,DAY(EOMONTH(요약!$B$3,0))-N($X31)),0))</f>
        <v/>
      </c>
      <c r="AJ31" s="10">
        <f>IF(OR($B31="",TRIM($J31&amp;"")=""),"",IFERROR(MATCH(TRIM($J31&amp;"")&amp;"|월",파견수련계획!$Z$4:$Z$83,0),""))</f>
        <v/>
      </c>
      <c r="AK31" s="10">
        <f>IF(OR($B31="",TRIM($J31&amp;"")=""),"",IFERROR(MATCH(TRIM($J31&amp;"")&amp;"|다기관",파견수련계획!$AE$4:$AE$83,0),""))</f>
        <v/>
      </c>
      <c r="AL31" s="10">
        <f>IF($AK31="","","다기관 "&amp;TEXT(INDEX(파견수련계획!$AB$4:$AB$83,$AK31),"yyyy-mm-dd")&amp;"~"&amp;IF(ISNUMBER(INDEX(파견수련계획!$AC$4:$AC$83,$AK31)),TEXT(INDEX(파견수련계획!$AC$4:$AC$83,$AK31),"yyyy-mm-dd"),""))</f>
        <v/>
      </c>
    </row>
    <row r="32">
      <c r="A32" s="10">
        <f>IF(B32="","",ROW()-1)</f>
        <v/>
      </c>
      <c r="B32" s="18" t="n"/>
      <c r="C32" s="10">
        <f>IF($AB32="","",IF(INDEX(기본자료!$C$2:$C$301,$AB32)="","",INDEX(기본자료!$C$2:$C$301,$AB32)))</f>
        <v/>
      </c>
      <c r="D32" s="10">
        <f>IF($AB32="","",IF(INDEX(기본자료!$J$2:$J$301,$AB32)="","",INDEX(기본자료!$J$2:$J$301,$AB32)))</f>
        <v/>
      </c>
      <c r="E32" s="11">
        <f>IF($AB32="","",IF(INDEX(기본자료!$K$2:$K$301,$AB32)="","",IF(NOT(ISNUMBER(INDEX(기본자료!$K$2:$K$301,$AB32))),INDEX(기본자료!$K$2:$K$301,$AB32),IF(INDEX(기본자료!$K$2:$K$301,$AB32)&lt;1000000,INDEX(기본자료!$K$2:$K$301,$AB32),IF(AND(INDEX(기본자료!$K$2:$K$301,$AB32)&gt;=10000101,INT(MOD(INDEX(기본자료!$K$2:$K$301,$AB32),10000)/100)&gt;=1,INT(MOD(INDEX(기본자료!$K$2:$K$301,$AB32),10000)/100)&lt;=12,MOD(INDEX(기본자료!$K$2:$K$301,$AB32),100)&gt;=1,MOD(INDEX(기본자료!$K$2:$K$301,$AB32),100)&lt;=31),DATE(INT(INDEX(기본자료!$K$2:$K$301,$AB32)/10000),INT(MOD(INDEX(기본자료!$K$2:$K$301,$AB32),10000)/100),MOD(INDEX(기본자료!$K$2:$K$301,$AB32),100)),INDEX(기본자료!$K$2:$K$301,$AB32)&amp;"")))))</f>
        <v/>
      </c>
      <c r="F32" s="10">
        <f>IF($AB32="","",IF(INDEX(기본자료!$D$2:$D$301,$AB32)="","",INDEX(기본자료!$D$2:$D$301,$AB32)))</f>
        <v/>
      </c>
      <c r="G32" s="10">
        <f>IF($AB32="","",IF(INDEX(기본자료!$E$2:$E$301,$AB32)="","",INDEX(기본자료!$E$2:$E$301,$AB32)))</f>
        <v/>
      </c>
      <c r="H32" s="10">
        <f>IF($AB32="","",IF(INDEX(기본자료!$F$2:$F$301,$AB32)="","",INDEX(기본자료!$F$2:$F$301,$AB32)))</f>
        <v/>
      </c>
      <c r="I32" s="11">
        <f>IF($AB32="","",IF(INDEX(기본자료!$G$2:$G$301,$AB32)="","",IF(NOT(ISNUMBER(INDEX(기본자료!$G$2:$G$301,$AB32))),INDEX(기본자료!$G$2:$G$301,$AB32),IF(INDEX(기본자료!$G$2:$G$301,$AB32)&lt;1000000,INDEX(기본자료!$G$2:$G$301,$AB32),IF(AND(INDEX(기본자료!$G$2:$G$301,$AB32)&gt;=10000101,INT(MOD(INDEX(기본자료!$G$2:$G$301,$AB32),10000)/100)&gt;=1,INT(MOD(INDEX(기본자료!$G$2:$G$301,$AB32),10000)/100)&lt;=12,MOD(INDEX(기본자료!$G$2:$G$301,$AB32),100)&gt;=1,MOD(INDEX(기본자료!$G$2:$G$301,$AB32),100)&lt;=31),DATE(INT(INDEX(기본자료!$G$2:$G$301,$AB32)/10000),INT(MOD(INDEX(기본자료!$G$2:$G$301,$AB32),10000)/100),MOD(INDEX(기본자료!$G$2:$G$301,$AB32),100)),INDEX(기본자료!$G$2:$G$301,$AB32)&amp;"")))))</f>
        <v/>
      </c>
      <c r="J32" s="10">
        <f>IF($AB32="","",IF(INDEX(기본자료!$H$2:$H$301,$AB32)="","",INDEX(기본자료!$H$2:$H$301,$AB32)))</f>
        <v/>
      </c>
      <c r="K32" s="10">
        <f>IF($AB32="","",IF(INDEX(기본자료!$I$2:$I$301,$AB32)="","",INDEX(기본자료!$I$2:$I$301,$AB32)))</f>
        <v/>
      </c>
      <c r="L32" s="10">
        <f>IF($AB32="","",IF(INDEX(기본자료!$A$2:$A$301,$AB32)="","",INDEX(기본자료!$A$2:$A$301,$AB32)))</f>
        <v/>
      </c>
      <c r="M32" s="15" t="n"/>
      <c r="N32" s="10">
        <f>IF($B32="","",IF(AND($U32="파견중",$Q32&lt;&gt;""),$Q32,IF(AND($AD32&lt;&gt;"",LEFT($AD32,1)&lt;&gt;"⚠"),LEFT($AD32,FIND(" ",$AD32)-1),IF($H32="","",IF(RIGHT($H32,2)="병원",$H32,$H32&amp;"병원")))))</f>
        <v/>
      </c>
      <c r="O32" s="10">
        <f>IF($B32="","",IF(AND($U32="파견중",$Q32&lt;&gt;""),IF($R32&lt;&gt;"",$R32,"파견과 미입력"),IF(AND($AD32&lt;&gt;"",LEFT($AD32,1)&lt;&gt;"⚠"),MID($AD32,FIND(" ",$AD32)+1,60),IF($F32="","",IF($F32="인턴","수련교육부(인턴)",$F32)))))</f>
        <v/>
      </c>
      <c r="P32" s="10">
        <f>IF($B32="","",IF($AK32&lt;&gt;"",IF(AND(TODAY()&gt;=INDEX(파견수련계획!$AB$4:$AB$83,$AK32),OR(NOT(ISNUMBER(INDEX(파견수련계획!$AC$4:$AC$83,$AK32))),TODAY()&lt;=INDEX(파견수련계획!$AC$4:$AC$83,$AK32))),"다기관",IF($AF32="","",INDEX(파견수련계획!$T$4:$T$83,$AF32))),IF($AF32="","",INDEX(파견수련계획!$T$4:$T$83,$AF32))))</f>
        <v/>
      </c>
      <c r="Q32" s="10">
        <f>IF($AF32="","",INDEX(파견수련계획!$S$4:$S$83,$AF32))</f>
        <v/>
      </c>
      <c r="R32" s="10">
        <f>IF($AF32="","",INDEX(파견수련계획!$U$4:$U$83,$AF32))</f>
        <v/>
      </c>
      <c r="S32" s="11">
        <f>IF($AF32="","",IF(INDEX(파견수련계획!$H$4:$H$83,$AF32)="","",INDEX(파견수련계획!$H$4:$H$83,$AF32)))</f>
        <v/>
      </c>
      <c r="T32" s="11">
        <f>IF($AF32="","",IF(INDEX(파견수련계획!$I$4:$I$83,$AF32)="","",INDEX(파견수련계획!$I$4:$I$83,$AF32)))</f>
        <v/>
      </c>
      <c r="U32" s="10">
        <f>IF($AF32="","",INDEX(파견수련계획!$X$4:$X$83,$AF32))</f>
        <v/>
      </c>
      <c r="V32" s="17">
        <f>IF($AF32="","",INDEX(파견수련계획!$V$4:$V$83,$AF32))</f>
        <v/>
      </c>
      <c r="W32" s="17">
        <f>IF(AND($U32="파견중",$T32&lt;&gt;""),$T32-TODAY(),"")</f>
        <v/>
      </c>
      <c r="X32" s="17">
        <f>IF(OR($B32="",TRIM($J32&amp;"")=""),"",SUMPRODUCT((파견수련계획!$Q$4:$Q$83=TRIM($J32&amp;""))*파견수련계획!$W$4:$W$83))</f>
        <v/>
      </c>
      <c r="Y32" s="10">
        <f>IF($B32="","",IF($AG32="","",IF(IF(TRIM($J32&amp;"")="",0,SUMPRODUCT((파견수련계획!$Q$4:$Q$83=TRIM($J32&amp;""))*파견수련계획!$AD$4:$AD$83))&gt;0,$AE32,IF(N($X32)&lt;=0,$AG32,IF($AH32+$AI32=DAY(EOMONTH(요약!$B$3,0)),IF(AND($AH32&gt;=요약!$E$3,$AI32&lt;요약!$E$3),"서울병원",IF(AND($AI32&gt;=요약!$E$3,$AH32&lt;요약!$E$3),"구리병원","⚠15일 판정불가(서울 "&amp;$AH32&amp;"일/구리 "&amp;$AI32&amp;"일)")),IF($AJ32="",$AE32,IF(INDEX(파견수련계획!$T$4:$T$83,$AJ32)="통합수련",INDEX(파견수련계획!$S$4:$S$83,$AJ32),$AE32)))))))</f>
        <v/>
      </c>
      <c r="Z32" s="19">
        <f>IF($B32="","",IF($AB32="","기본자료에 없는 사번",IF(COUNTIF($B$2:$B$61,$B32)&gt;1,"중복 사번",IF($AE32="","소속(입사장소) 입력",IF(IF(TRIM($J32&amp;"")="",0,SUMPRODUCT((파견수련계획!$Q$4:$Q$83=TRIM($J32&amp;""))*(파견수련계획!$AA$4:$AA$83&lt;&gt;"")))&gt;0,"파견수련계획 입력오류 확인",IF(LEFT($Y32,1)="⚠","서울·구리 15일 판정 불가(양쪽 모두 이상/미만)",IF(IF($AC32="",0,N(INDEX(인턴근무계획!$T$3:$T$62,$AC32)))&gt;0,"인턴계획 입력오류 확인",IF(AND($AC32&lt;&gt;"",$U32&lt;&gt;"파견중",$N32&lt;&gt;$AE32),"인턴 타지역 근무: 파견 여부 확인","정상"))))))))</f>
        <v/>
      </c>
      <c r="AA32" s="5" t="n"/>
      <c r="AB32" s="10">
        <f>IF($B32="","",IFERROR(MATCH($B32,기본자료!$B$2:$B$301,0),IFERROR(MATCH($B32&amp;"",기본자료!$B$2:$B$301,0),IFERROR(MATCH(VALUE($B32),기본자료!$B$2:$B$301,0),""))))</f>
        <v/>
      </c>
      <c r="AC32" s="10">
        <f>IF($B32="","",IFERROR(MATCH($B32,인턴근무계획!$D$3:$D$62,0),IFERROR(MATCH($B32&amp;"",인턴근무계획!$D$3:$D$62,0),IFERROR(MATCH(VALUE($B32),인턴근무계획!$D$3:$D$62,0),""))))</f>
        <v/>
      </c>
      <c r="AD32" s="10">
        <f>IF(OR($AC32="",인턴현황!$G$3=""),"",INDEX(인턴근무계획!$M$3:$R$62,$AC32,인턴현황!$G$3)&amp;"")</f>
        <v/>
      </c>
      <c r="AE32" s="10">
        <f>IF($B32="","",IF($M32&lt;&gt;"",$M32,IF($AF32&lt;&gt;"",IF(LEFT(INDEX(파견수련계획!$R$4:$R$83,$AF32),1)&lt;&gt;"⚠",INDEX(파견수련계획!$R$4:$R$83,$AF32),IF($H32="","",IF(RIGHT($H32,2)="병원",$H32,$H32&amp;"병원"))),IF($H32="","",IF(RIGHT($H32,2)="병원",$H32,$H32&amp;"병원")))))</f>
        <v/>
      </c>
      <c r="AF32" s="10">
        <f>IF(OR($B32="",TRIM($J32&amp;"")=""),"",IFERROR(MATCH(TRIM($J32&amp;"")&amp;"|파견중",파견수련계획!$Y$4:$Y$83,0),IFERROR(MATCH(TRIM($J32&amp;"")&amp;"|파견예정",파견수련계획!$Y$4:$Y$83,0),IFERROR(MATCH(TRIM($J32&amp;"")&amp;"|파견종료",파견수련계획!$Y$4:$Y$83,0),""))))</f>
        <v/>
      </c>
      <c r="AG32" s="10">
        <f>IF($B32="","",IF(AND(IF(OR($AC32="",인턴현황!$K$2=""),"",INDEX(인턴근무계획!$M$3:$R$62,$AC32,인턴현황!$K$2)&amp;"")&lt;&gt;"",LEFT(IF(OR($AC32="",인턴현황!$K$2=""),"",INDEX(인턴근무계획!$M$3:$R$62,$AC32,인턴현황!$K$2)&amp;""),1)&lt;&gt;"⚠"),LEFT(IF(OR($AC32="",인턴현황!$K$2=""),"",INDEX(인턴근무계획!$M$3:$R$62,$AC32,인턴현황!$K$2)&amp;""),FIND(" ",IF(OR($AC32="",인턴현황!$K$2=""),"",INDEX(인턴근무계획!$M$3:$R$62,$AC32,인턴현황!$K$2)&amp;""))-1),$AE32))</f>
        <v/>
      </c>
      <c r="AH32" s="17">
        <f>IF($B32="","",IF(TRIM($J32&amp;"")="",0,SUMPRODUCT((파견수련계획!$Q$4:$Q$83=TRIM($J32&amp;""))*(파견수련계획!$S$4:$S$83="서울병원")*파견수련계획!$W$4:$W$83))+IF($AG32="서울병원",MAX(0,DAY(EOMONTH(요약!$B$3,0))-N($X32)),0))</f>
        <v/>
      </c>
      <c r="AI32" s="17">
        <f>IF($B32="","",IF(TRIM($J32&amp;"")="",0,SUMPRODUCT((파견수련계획!$Q$4:$Q$83=TRIM($J32&amp;""))*(파견수련계획!$S$4:$S$83="구리병원")*파견수련계획!$W$4:$W$83))+IF($AG32="구리병원",MAX(0,DAY(EOMONTH(요약!$B$3,0))-N($X32)),0))</f>
        <v/>
      </c>
      <c r="AJ32" s="10">
        <f>IF(OR($B32="",TRIM($J32&amp;"")=""),"",IFERROR(MATCH(TRIM($J32&amp;"")&amp;"|월",파견수련계획!$Z$4:$Z$83,0),""))</f>
        <v/>
      </c>
      <c r="AK32" s="10">
        <f>IF(OR($B32="",TRIM($J32&amp;"")=""),"",IFERROR(MATCH(TRIM($J32&amp;"")&amp;"|다기관",파견수련계획!$AE$4:$AE$83,0),""))</f>
        <v/>
      </c>
      <c r="AL32" s="10">
        <f>IF($AK32="","","다기관 "&amp;TEXT(INDEX(파견수련계획!$AB$4:$AB$83,$AK32),"yyyy-mm-dd")&amp;"~"&amp;IF(ISNUMBER(INDEX(파견수련계획!$AC$4:$AC$83,$AK32)),TEXT(INDEX(파견수련계획!$AC$4:$AC$83,$AK32),"yyyy-mm-dd"),""))</f>
        <v/>
      </c>
    </row>
    <row r="33">
      <c r="A33" s="10">
        <f>IF(B33="","",ROW()-1)</f>
        <v/>
      </c>
      <c r="B33" s="18" t="n"/>
      <c r="C33" s="10">
        <f>IF($AB33="","",IF(INDEX(기본자료!$C$2:$C$301,$AB33)="","",INDEX(기본자료!$C$2:$C$301,$AB33)))</f>
        <v/>
      </c>
      <c r="D33" s="10">
        <f>IF($AB33="","",IF(INDEX(기본자료!$J$2:$J$301,$AB33)="","",INDEX(기본자료!$J$2:$J$301,$AB33)))</f>
        <v/>
      </c>
      <c r="E33" s="11">
        <f>IF($AB33="","",IF(INDEX(기본자료!$K$2:$K$301,$AB33)="","",IF(NOT(ISNUMBER(INDEX(기본자료!$K$2:$K$301,$AB33))),INDEX(기본자료!$K$2:$K$301,$AB33),IF(INDEX(기본자료!$K$2:$K$301,$AB33)&lt;1000000,INDEX(기본자료!$K$2:$K$301,$AB33),IF(AND(INDEX(기본자료!$K$2:$K$301,$AB33)&gt;=10000101,INT(MOD(INDEX(기본자료!$K$2:$K$301,$AB33),10000)/100)&gt;=1,INT(MOD(INDEX(기본자료!$K$2:$K$301,$AB33),10000)/100)&lt;=12,MOD(INDEX(기본자료!$K$2:$K$301,$AB33),100)&gt;=1,MOD(INDEX(기본자료!$K$2:$K$301,$AB33),100)&lt;=31),DATE(INT(INDEX(기본자료!$K$2:$K$301,$AB33)/10000),INT(MOD(INDEX(기본자료!$K$2:$K$301,$AB33),10000)/100),MOD(INDEX(기본자료!$K$2:$K$301,$AB33),100)),INDEX(기본자료!$K$2:$K$301,$AB33)&amp;"")))))</f>
        <v/>
      </c>
      <c r="F33" s="10">
        <f>IF($AB33="","",IF(INDEX(기본자료!$D$2:$D$301,$AB33)="","",INDEX(기본자료!$D$2:$D$301,$AB33)))</f>
        <v/>
      </c>
      <c r="G33" s="10">
        <f>IF($AB33="","",IF(INDEX(기본자료!$E$2:$E$301,$AB33)="","",INDEX(기본자료!$E$2:$E$301,$AB33)))</f>
        <v/>
      </c>
      <c r="H33" s="10">
        <f>IF($AB33="","",IF(INDEX(기본자료!$F$2:$F$301,$AB33)="","",INDEX(기본자료!$F$2:$F$301,$AB33)))</f>
        <v/>
      </c>
      <c r="I33" s="11">
        <f>IF($AB33="","",IF(INDEX(기본자료!$G$2:$G$301,$AB33)="","",IF(NOT(ISNUMBER(INDEX(기본자료!$G$2:$G$301,$AB33))),INDEX(기본자료!$G$2:$G$301,$AB33),IF(INDEX(기본자료!$G$2:$G$301,$AB33)&lt;1000000,INDEX(기본자료!$G$2:$G$301,$AB33),IF(AND(INDEX(기본자료!$G$2:$G$301,$AB33)&gt;=10000101,INT(MOD(INDEX(기본자료!$G$2:$G$301,$AB33),10000)/100)&gt;=1,INT(MOD(INDEX(기본자료!$G$2:$G$301,$AB33),10000)/100)&lt;=12,MOD(INDEX(기본자료!$G$2:$G$301,$AB33),100)&gt;=1,MOD(INDEX(기본자료!$G$2:$G$301,$AB33),100)&lt;=31),DATE(INT(INDEX(기본자료!$G$2:$G$301,$AB33)/10000),INT(MOD(INDEX(기본자료!$G$2:$G$301,$AB33),10000)/100),MOD(INDEX(기본자료!$G$2:$G$301,$AB33),100)),INDEX(기본자료!$G$2:$G$301,$AB33)&amp;"")))))</f>
        <v/>
      </c>
      <c r="J33" s="10">
        <f>IF($AB33="","",IF(INDEX(기본자료!$H$2:$H$301,$AB33)="","",INDEX(기본자료!$H$2:$H$301,$AB33)))</f>
        <v/>
      </c>
      <c r="K33" s="10">
        <f>IF($AB33="","",IF(INDEX(기본자료!$I$2:$I$301,$AB33)="","",INDEX(기본자료!$I$2:$I$301,$AB33)))</f>
        <v/>
      </c>
      <c r="L33" s="10">
        <f>IF($AB33="","",IF(INDEX(기본자료!$A$2:$A$301,$AB33)="","",INDEX(기본자료!$A$2:$A$301,$AB33)))</f>
        <v/>
      </c>
      <c r="M33" s="15" t="n"/>
      <c r="N33" s="10">
        <f>IF($B33="","",IF(AND($U33="파견중",$Q33&lt;&gt;""),$Q33,IF(AND($AD33&lt;&gt;"",LEFT($AD33,1)&lt;&gt;"⚠"),LEFT($AD33,FIND(" ",$AD33)-1),IF($H33="","",IF(RIGHT($H33,2)="병원",$H33,$H33&amp;"병원")))))</f>
        <v/>
      </c>
      <c r="O33" s="10">
        <f>IF($B33="","",IF(AND($U33="파견중",$Q33&lt;&gt;""),IF($R33&lt;&gt;"",$R33,"파견과 미입력"),IF(AND($AD33&lt;&gt;"",LEFT($AD33,1)&lt;&gt;"⚠"),MID($AD33,FIND(" ",$AD33)+1,60),IF($F33="","",IF($F33="인턴","수련교육부(인턴)",$F33)))))</f>
        <v/>
      </c>
      <c r="P33" s="10">
        <f>IF($B33="","",IF($AK33&lt;&gt;"",IF(AND(TODAY()&gt;=INDEX(파견수련계획!$AB$4:$AB$83,$AK33),OR(NOT(ISNUMBER(INDEX(파견수련계획!$AC$4:$AC$83,$AK33))),TODAY()&lt;=INDEX(파견수련계획!$AC$4:$AC$83,$AK33))),"다기관",IF($AF33="","",INDEX(파견수련계획!$T$4:$T$83,$AF33))),IF($AF33="","",INDEX(파견수련계획!$T$4:$T$83,$AF33))))</f>
        <v/>
      </c>
      <c r="Q33" s="10">
        <f>IF($AF33="","",INDEX(파견수련계획!$S$4:$S$83,$AF33))</f>
        <v/>
      </c>
      <c r="R33" s="10">
        <f>IF($AF33="","",INDEX(파견수련계획!$U$4:$U$83,$AF33))</f>
        <v/>
      </c>
      <c r="S33" s="11">
        <f>IF($AF33="","",IF(INDEX(파견수련계획!$H$4:$H$83,$AF33)="","",INDEX(파견수련계획!$H$4:$H$83,$AF33)))</f>
        <v/>
      </c>
      <c r="T33" s="11">
        <f>IF($AF33="","",IF(INDEX(파견수련계획!$I$4:$I$83,$AF33)="","",INDEX(파견수련계획!$I$4:$I$83,$AF33)))</f>
        <v/>
      </c>
      <c r="U33" s="10">
        <f>IF($AF33="","",INDEX(파견수련계획!$X$4:$X$83,$AF33))</f>
        <v/>
      </c>
      <c r="V33" s="17">
        <f>IF($AF33="","",INDEX(파견수련계획!$V$4:$V$83,$AF33))</f>
        <v/>
      </c>
      <c r="W33" s="17">
        <f>IF(AND($U33="파견중",$T33&lt;&gt;""),$T33-TODAY(),"")</f>
        <v/>
      </c>
      <c r="X33" s="17">
        <f>IF(OR($B33="",TRIM($J33&amp;"")=""),"",SUMPRODUCT((파견수련계획!$Q$4:$Q$83=TRIM($J33&amp;""))*파견수련계획!$W$4:$W$83))</f>
        <v/>
      </c>
      <c r="Y33" s="10">
        <f>IF($B33="","",IF($AG33="","",IF(IF(TRIM($J33&amp;"")="",0,SUMPRODUCT((파견수련계획!$Q$4:$Q$83=TRIM($J33&amp;""))*파견수련계획!$AD$4:$AD$83))&gt;0,$AE33,IF(N($X33)&lt;=0,$AG33,IF($AH33+$AI33=DAY(EOMONTH(요약!$B$3,0)),IF(AND($AH33&gt;=요약!$E$3,$AI33&lt;요약!$E$3),"서울병원",IF(AND($AI33&gt;=요약!$E$3,$AH33&lt;요약!$E$3),"구리병원","⚠15일 판정불가(서울 "&amp;$AH33&amp;"일/구리 "&amp;$AI33&amp;"일)")),IF($AJ33="",$AE33,IF(INDEX(파견수련계획!$T$4:$T$83,$AJ33)="통합수련",INDEX(파견수련계획!$S$4:$S$83,$AJ33),$AE33)))))))</f>
        <v/>
      </c>
      <c r="Z33" s="19">
        <f>IF($B33="","",IF($AB33="","기본자료에 없는 사번",IF(COUNTIF($B$2:$B$61,$B33)&gt;1,"중복 사번",IF($AE33="","소속(입사장소) 입력",IF(IF(TRIM($J33&amp;"")="",0,SUMPRODUCT((파견수련계획!$Q$4:$Q$83=TRIM($J33&amp;""))*(파견수련계획!$AA$4:$AA$83&lt;&gt;"")))&gt;0,"파견수련계획 입력오류 확인",IF(LEFT($Y33,1)="⚠","서울·구리 15일 판정 불가(양쪽 모두 이상/미만)",IF(IF($AC33="",0,N(INDEX(인턴근무계획!$T$3:$T$62,$AC33)))&gt;0,"인턴계획 입력오류 확인",IF(AND($AC33&lt;&gt;"",$U33&lt;&gt;"파견중",$N33&lt;&gt;$AE33),"인턴 타지역 근무: 파견 여부 확인","정상"))))))))</f>
        <v/>
      </c>
      <c r="AA33" s="5" t="n"/>
      <c r="AB33" s="10">
        <f>IF($B33="","",IFERROR(MATCH($B33,기본자료!$B$2:$B$301,0),IFERROR(MATCH($B33&amp;"",기본자료!$B$2:$B$301,0),IFERROR(MATCH(VALUE($B33),기본자료!$B$2:$B$301,0),""))))</f>
        <v/>
      </c>
      <c r="AC33" s="10">
        <f>IF($B33="","",IFERROR(MATCH($B33,인턴근무계획!$D$3:$D$62,0),IFERROR(MATCH($B33&amp;"",인턴근무계획!$D$3:$D$62,0),IFERROR(MATCH(VALUE($B33),인턴근무계획!$D$3:$D$62,0),""))))</f>
        <v/>
      </c>
      <c r="AD33" s="10">
        <f>IF(OR($AC33="",인턴현황!$G$3=""),"",INDEX(인턴근무계획!$M$3:$R$62,$AC33,인턴현황!$G$3)&amp;"")</f>
        <v/>
      </c>
      <c r="AE33" s="10">
        <f>IF($B33="","",IF($M33&lt;&gt;"",$M33,IF($AF33&lt;&gt;"",IF(LEFT(INDEX(파견수련계획!$R$4:$R$83,$AF33),1)&lt;&gt;"⚠",INDEX(파견수련계획!$R$4:$R$83,$AF33),IF($H33="","",IF(RIGHT($H33,2)="병원",$H33,$H33&amp;"병원"))),IF($H33="","",IF(RIGHT($H33,2)="병원",$H33,$H33&amp;"병원")))))</f>
        <v/>
      </c>
      <c r="AF33" s="10">
        <f>IF(OR($B33="",TRIM($J33&amp;"")=""),"",IFERROR(MATCH(TRIM($J33&amp;"")&amp;"|파견중",파견수련계획!$Y$4:$Y$83,0),IFERROR(MATCH(TRIM($J33&amp;"")&amp;"|파견예정",파견수련계획!$Y$4:$Y$83,0),IFERROR(MATCH(TRIM($J33&amp;"")&amp;"|파견종료",파견수련계획!$Y$4:$Y$83,0),""))))</f>
        <v/>
      </c>
      <c r="AG33" s="10">
        <f>IF($B33="","",IF(AND(IF(OR($AC33="",인턴현황!$K$2=""),"",INDEX(인턴근무계획!$M$3:$R$62,$AC33,인턴현황!$K$2)&amp;"")&lt;&gt;"",LEFT(IF(OR($AC33="",인턴현황!$K$2=""),"",INDEX(인턴근무계획!$M$3:$R$62,$AC33,인턴현황!$K$2)&amp;""),1)&lt;&gt;"⚠"),LEFT(IF(OR($AC33="",인턴현황!$K$2=""),"",INDEX(인턴근무계획!$M$3:$R$62,$AC33,인턴현황!$K$2)&amp;""),FIND(" ",IF(OR($AC33="",인턴현황!$K$2=""),"",INDEX(인턴근무계획!$M$3:$R$62,$AC33,인턴현황!$K$2)&amp;""))-1),$AE33))</f>
        <v/>
      </c>
      <c r="AH33" s="17">
        <f>IF($B33="","",IF(TRIM($J33&amp;"")="",0,SUMPRODUCT((파견수련계획!$Q$4:$Q$83=TRIM($J33&amp;""))*(파견수련계획!$S$4:$S$83="서울병원")*파견수련계획!$W$4:$W$83))+IF($AG33="서울병원",MAX(0,DAY(EOMONTH(요약!$B$3,0))-N($X33)),0))</f>
        <v/>
      </c>
      <c r="AI33" s="17">
        <f>IF($B33="","",IF(TRIM($J33&amp;"")="",0,SUMPRODUCT((파견수련계획!$Q$4:$Q$83=TRIM($J33&amp;""))*(파견수련계획!$S$4:$S$83="구리병원")*파견수련계획!$W$4:$W$83))+IF($AG33="구리병원",MAX(0,DAY(EOMONTH(요약!$B$3,0))-N($X33)),0))</f>
        <v/>
      </c>
      <c r="AJ33" s="10">
        <f>IF(OR($B33="",TRIM($J33&amp;"")=""),"",IFERROR(MATCH(TRIM($J33&amp;"")&amp;"|월",파견수련계획!$Z$4:$Z$83,0),""))</f>
        <v/>
      </c>
      <c r="AK33" s="10">
        <f>IF(OR($B33="",TRIM($J33&amp;"")=""),"",IFERROR(MATCH(TRIM($J33&amp;"")&amp;"|다기관",파견수련계획!$AE$4:$AE$83,0),""))</f>
        <v/>
      </c>
      <c r="AL33" s="10">
        <f>IF($AK33="","","다기관 "&amp;TEXT(INDEX(파견수련계획!$AB$4:$AB$83,$AK33),"yyyy-mm-dd")&amp;"~"&amp;IF(ISNUMBER(INDEX(파견수련계획!$AC$4:$AC$83,$AK33)),TEXT(INDEX(파견수련계획!$AC$4:$AC$83,$AK33),"yyyy-mm-dd"),""))</f>
        <v/>
      </c>
    </row>
    <row r="34">
      <c r="A34" s="10">
        <f>IF(B34="","",ROW()-1)</f>
        <v/>
      </c>
      <c r="B34" s="18" t="n"/>
      <c r="C34" s="10">
        <f>IF($AB34="","",IF(INDEX(기본자료!$C$2:$C$301,$AB34)="","",INDEX(기본자료!$C$2:$C$301,$AB34)))</f>
        <v/>
      </c>
      <c r="D34" s="10">
        <f>IF($AB34="","",IF(INDEX(기본자료!$J$2:$J$301,$AB34)="","",INDEX(기본자료!$J$2:$J$301,$AB34)))</f>
        <v/>
      </c>
      <c r="E34" s="11">
        <f>IF($AB34="","",IF(INDEX(기본자료!$K$2:$K$301,$AB34)="","",IF(NOT(ISNUMBER(INDEX(기본자료!$K$2:$K$301,$AB34))),INDEX(기본자료!$K$2:$K$301,$AB34),IF(INDEX(기본자료!$K$2:$K$301,$AB34)&lt;1000000,INDEX(기본자료!$K$2:$K$301,$AB34),IF(AND(INDEX(기본자료!$K$2:$K$301,$AB34)&gt;=10000101,INT(MOD(INDEX(기본자료!$K$2:$K$301,$AB34),10000)/100)&gt;=1,INT(MOD(INDEX(기본자료!$K$2:$K$301,$AB34),10000)/100)&lt;=12,MOD(INDEX(기본자료!$K$2:$K$301,$AB34),100)&gt;=1,MOD(INDEX(기본자료!$K$2:$K$301,$AB34),100)&lt;=31),DATE(INT(INDEX(기본자료!$K$2:$K$301,$AB34)/10000),INT(MOD(INDEX(기본자료!$K$2:$K$301,$AB34),10000)/100),MOD(INDEX(기본자료!$K$2:$K$301,$AB34),100)),INDEX(기본자료!$K$2:$K$301,$AB34)&amp;"")))))</f>
        <v/>
      </c>
      <c r="F34" s="10">
        <f>IF($AB34="","",IF(INDEX(기본자료!$D$2:$D$301,$AB34)="","",INDEX(기본자료!$D$2:$D$301,$AB34)))</f>
        <v/>
      </c>
      <c r="G34" s="10">
        <f>IF($AB34="","",IF(INDEX(기본자료!$E$2:$E$301,$AB34)="","",INDEX(기본자료!$E$2:$E$301,$AB34)))</f>
        <v/>
      </c>
      <c r="H34" s="10">
        <f>IF($AB34="","",IF(INDEX(기본자료!$F$2:$F$301,$AB34)="","",INDEX(기본자료!$F$2:$F$301,$AB34)))</f>
        <v/>
      </c>
      <c r="I34" s="11">
        <f>IF($AB34="","",IF(INDEX(기본자료!$G$2:$G$301,$AB34)="","",IF(NOT(ISNUMBER(INDEX(기본자료!$G$2:$G$301,$AB34))),INDEX(기본자료!$G$2:$G$301,$AB34),IF(INDEX(기본자료!$G$2:$G$301,$AB34)&lt;1000000,INDEX(기본자료!$G$2:$G$301,$AB34),IF(AND(INDEX(기본자료!$G$2:$G$301,$AB34)&gt;=10000101,INT(MOD(INDEX(기본자료!$G$2:$G$301,$AB34),10000)/100)&gt;=1,INT(MOD(INDEX(기본자료!$G$2:$G$301,$AB34),10000)/100)&lt;=12,MOD(INDEX(기본자료!$G$2:$G$301,$AB34),100)&gt;=1,MOD(INDEX(기본자료!$G$2:$G$301,$AB34),100)&lt;=31),DATE(INT(INDEX(기본자료!$G$2:$G$301,$AB34)/10000),INT(MOD(INDEX(기본자료!$G$2:$G$301,$AB34),10000)/100),MOD(INDEX(기본자료!$G$2:$G$301,$AB34),100)),INDEX(기본자료!$G$2:$G$301,$AB34)&amp;"")))))</f>
        <v/>
      </c>
      <c r="J34" s="10">
        <f>IF($AB34="","",IF(INDEX(기본자료!$H$2:$H$301,$AB34)="","",INDEX(기본자료!$H$2:$H$301,$AB34)))</f>
        <v/>
      </c>
      <c r="K34" s="10">
        <f>IF($AB34="","",IF(INDEX(기본자료!$I$2:$I$301,$AB34)="","",INDEX(기본자료!$I$2:$I$301,$AB34)))</f>
        <v/>
      </c>
      <c r="L34" s="10">
        <f>IF($AB34="","",IF(INDEX(기본자료!$A$2:$A$301,$AB34)="","",INDEX(기본자료!$A$2:$A$301,$AB34)))</f>
        <v/>
      </c>
      <c r="M34" s="15" t="n"/>
      <c r="N34" s="10">
        <f>IF($B34="","",IF(AND($U34="파견중",$Q34&lt;&gt;""),$Q34,IF(AND($AD34&lt;&gt;"",LEFT($AD34,1)&lt;&gt;"⚠"),LEFT($AD34,FIND(" ",$AD34)-1),IF($H34="","",IF(RIGHT($H34,2)="병원",$H34,$H34&amp;"병원")))))</f>
        <v/>
      </c>
      <c r="O34" s="10">
        <f>IF($B34="","",IF(AND($U34="파견중",$Q34&lt;&gt;""),IF($R34&lt;&gt;"",$R34,"파견과 미입력"),IF(AND($AD34&lt;&gt;"",LEFT($AD34,1)&lt;&gt;"⚠"),MID($AD34,FIND(" ",$AD34)+1,60),IF($F34="","",IF($F34="인턴","수련교육부(인턴)",$F34)))))</f>
        <v/>
      </c>
      <c r="P34" s="10">
        <f>IF($B34="","",IF($AK34&lt;&gt;"",IF(AND(TODAY()&gt;=INDEX(파견수련계획!$AB$4:$AB$83,$AK34),OR(NOT(ISNUMBER(INDEX(파견수련계획!$AC$4:$AC$83,$AK34))),TODAY()&lt;=INDEX(파견수련계획!$AC$4:$AC$83,$AK34))),"다기관",IF($AF34="","",INDEX(파견수련계획!$T$4:$T$83,$AF34))),IF($AF34="","",INDEX(파견수련계획!$T$4:$T$83,$AF34))))</f>
        <v/>
      </c>
      <c r="Q34" s="10">
        <f>IF($AF34="","",INDEX(파견수련계획!$S$4:$S$83,$AF34))</f>
        <v/>
      </c>
      <c r="R34" s="10">
        <f>IF($AF34="","",INDEX(파견수련계획!$U$4:$U$83,$AF34))</f>
        <v/>
      </c>
      <c r="S34" s="11">
        <f>IF($AF34="","",IF(INDEX(파견수련계획!$H$4:$H$83,$AF34)="","",INDEX(파견수련계획!$H$4:$H$83,$AF34)))</f>
        <v/>
      </c>
      <c r="T34" s="11">
        <f>IF($AF34="","",IF(INDEX(파견수련계획!$I$4:$I$83,$AF34)="","",INDEX(파견수련계획!$I$4:$I$83,$AF34)))</f>
        <v/>
      </c>
      <c r="U34" s="10">
        <f>IF($AF34="","",INDEX(파견수련계획!$X$4:$X$83,$AF34))</f>
        <v/>
      </c>
      <c r="V34" s="17">
        <f>IF($AF34="","",INDEX(파견수련계획!$V$4:$V$83,$AF34))</f>
        <v/>
      </c>
      <c r="W34" s="17">
        <f>IF(AND($U34="파견중",$T34&lt;&gt;""),$T34-TODAY(),"")</f>
        <v/>
      </c>
      <c r="X34" s="17">
        <f>IF(OR($B34="",TRIM($J34&amp;"")=""),"",SUMPRODUCT((파견수련계획!$Q$4:$Q$83=TRIM($J34&amp;""))*파견수련계획!$W$4:$W$83))</f>
        <v/>
      </c>
      <c r="Y34" s="10">
        <f>IF($B34="","",IF($AG34="","",IF(IF(TRIM($J34&amp;"")="",0,SUMPRODUCT((파견수련계획!$Q$4:$Q$83=TRIM($J34&amp;""))*파견수련계획!$AD$4:$AD$83))&gt;0,$AE34,IF(N($X34)&lt;=0,$AG34,IF($AH34+$AI34=DAY(EOMONTH(요약!$B$3,0)),IF(AND($AH34&gt;=요약!$E$3,$AI34&lt;요약!$E$3),"서울병원",IF(AND($AI34&gt;=요약!$E$3,$AH34&lt;요약!$E$3),"구리병원","⚠15일 판정불가(서울 "&amp;$AH34&amp;"일/구리 "&amp;$AI34&amp;"일)")),IF($AJ34="",$AE34,IF(INDEX(파견수련계획!$T$4:$T$83,$AJ34)="통합수련",INDEX(파견수련계획!$S$4:$S$83,$AJ34),$AE34)))))))</f>
        <v/>
      </c>
      <c r="Z34" s="19">
        <f>IF($B34="","",IF($AB34="","기본자료에 없는 사번",IF(COUNTIF($B$2:$B$61,$B34)&gt;1,"중복 사번",IF($AE34="","소속(입사장소) 입력",IF(IF(TRIM($J34&amp;"")="",0,SUMPRODUCT((파견수련계획!$Q$4:$Q$83=TRIM($J34&amp;""))*(파견수련계획!$AA$4:$AA$83&lt;&gt;"")))&gt;0,"파견수련계획 입력오류 확인",IF(LEFT($Y34,1)="⚠","서울·구리 15일 판정 불가(양쪽 모두 이상/미만)",IF(IF($AC34="",0,N(INDEX(인턴근무계획!$T$3:$T$62,$AC34)))&gt;0,"인턴계획 입력오류 확인",IF(AND($AC34&lt;&gt;"",$U34&lt;&gt;"파견중",$N34&lt;&gt;$AE34),"인턴 타지역 근무: 파견 여부 확인","정상"))))))))</f>
        <v/>
      </c>
      <c r="AA34" s="5" t="n"/>
      <c r="AB34" s="10">
        <f>IF($B34="","",IFERROR(MATCH($B34,기본자료!$B$2:$B$301,0),IFERROR(MATCH($B34&amp;"",기본자료!$B$2:$B$301,0),IFERROR(MATCH(VALUE($B34),기본자료!$B$2:$B$301,0),""))))</f>
        <v/>
      </c>
      <c r="AC34" s="10">
        <f>IF($B34="","",IFERROR(MATCH($B34,인턴근무계획!$D$3:$D$62,0),IFERROR(MATCH($B34&amp;"",인턴근무계획!$D$3:$D$62,0),IFERROR(MATCH(VALUE($B34),인턴근무계획!$D$3:$D$62,0),""))))</f>
        <v/>
      </c>
      <c r="AD34" s="10">
        <f>IF(OR($AC34="",인턴현황!$G$3=""),"",INDEX(인턴근무계획!$M$3:$R$62,$AC34,인턴현황!$G$3)&amp;"")</f>
        <v/>
      </c>
      <c r="AE34" s="10">
        <f>IF($B34="","",IF($M34&lt;&gt;"",$M34,IF($AF34&lt;&gt;"",IF(LEFT(INDEX(파견수련계획!$R$4:$R$83,$AF34),1)&lt;&gt;"⚠",INDEX(파견수련계획!$R$4:$R$83,$AF34),IF($H34="","",IF(RIGHT($H34,2)="병원",$H34,$H34&amp;"병원"))),IF($H34="","",IF(RIGHT($H34,2)="병원",$H34,$H34&amp;"병원")))))</f>
        <v/>
      </c>
      <c r="AF34" s="10">
        <f>IF(OR($B34="",TRIM($J34&amp;"")=""),"",IFERROR(MATCH(TRIM($J34&amp;"")&amp;"|파견중",파견수련계획!$Y$4:$Y$83,0),IFERROR(MATCH(TRIM($J34&amp;"")&amp;"|파견예정",파견수련계획!$Y$4:$Y$83,0),IFERROR(MATCH(TRIM($J34&amp;"")&amp;"|파견종료",파견수련계획!$Y$4:$Y$83,0),""))))</f>
        <v/>
      </c>
      <c r="AG34" s="10">
        <f>IF($B34="","",IF(AND(IF(OR($AC34="",인턴현황!$K$2=""),"",INDEX(인턴근무계획!$M$3:$R$62,$AC34,인턴현황!$K$2)&amp;"")&lt;&gt;"",LEFT(IF(OR($AC34="",인턴현황!$K$2=""),"",INDEX(인턴근무계획!$M$3:$R$62,$AC34,인턴현황!$K$2)&amp;""),1)&lt;&gt;"⚠"),LEFT(IF(OR($AC34="",인턴현황!$K$2=""),"",INDEX(인턴근무계획!$M$3:$R$62,$AC34,인턴현황!$K$2)&amp;""),FIND(" ",IF(OR($AC34="",인턴현황!$K$2=""),"",INDEX(인턴근무계획!$M$3:$R$62,$AC34,인턴현황!$K$2)&amp;""))-1),$AE34))</f>
        <v/>
      </c>
      <c r="AH34" s="17">
        <f>IF($B34="","",IF(TRIM($J34&amp;"")="",0,SUMPRODUCT((파견수련계획!$Q$4:$Q$83=TRIM($J34&amp;""))*(파견수련계획!$S$4:$S$83="서울병원")*파견수련계획!$W$4:$W$83))+IF($AG34="서울병원",MAX(0,DAY(EOMONTH(요약!$B$3,0))-N($X34)),0))</f>
        <v/>
      </c>
      <c r="AI34" s="17">
        <f>IF($B34="","",IF(TRIM($J34&amp;"")="",0,SUMPRODUCT((파견수련계획!$Q$4:$Q$83=TRIM($J34&amp;""))*(파견수련계획!$S$4:$S$83="구리병원")*파견수련계획!$W$4:$W$83))+IF($AG34="구리병원",MAX(0,DAY(EOMONTH(요약!$B$3,0))-N($X34)),0))</f>
        <v/>
      </c>
      <c r="AJ34" s="10">
        <f>IF(OR($B34="",TRIM($J34&amp;"")=""),"",IFERROR(MATCH(TRIM($J34&amp;"")&amp;"|월",파견수련계획!$Z$4:$Z$83,0),""))</f>
        <v/>
      </c>
      <c r="AK34" s="10">
        <f>IF(OR($B34="",TRIM($J34&amp;"")=""),"",IFERROR(MATCH(TRIM($J34&amp;"")&amp;"|다기관",파견수련계획!$AE$4:$AE$83,0),""))</f>
        <v/>
      </c>
      <c r="AL34" s="10">
        <f>IF($AK34="","","다기관 "&amp;TEXT(INDEX(파견수련계획!$AB$4:$AB$83,$AK34),"yyyy-mm-dd")&amp;"~"&amp;IF(ISNUMBER(INDEX(파견수련계획!$AC$4:$AC$83,$AK34)),TEXT(INDEX(파견수련계획!$AC$4:$AC$83,$AK34),"yyyy-mm-dd"),""))</f>
        <v/>
      </c>
    </row>
    <row r="35">
      <c r="A35" s="10">
        <f>IF(B35="","",ROW()-1)</f>
        <v/>
      </c>
      <c r="B35" s="18" t="n"/>
      <c r="C35" s="10">
        <f>IF($AB35="","",IF(INDEX(기본자료!$C$2:$C$301,$AB35)="","",INDEX(기본자료!$C$2:$C$301,$AB35)))</f>
        <v/>
      </c>
      <c r="D35" s="10">
        <f>IF($AB35="","",IF(INDEX(기본자료!$J$2:$J$301,$AB35)="","",INDEX(기본자료!$J$2:$J$301,$AB35)))</f>
        <v/>
      </c>
      <c r="E35" s="11">
        <f>IF($AB35="","",IF(INDEX(기본자료!$K$2:$K$301,$AB35)="","",IF(NOT(ISNUMBER(INDEX(기본자료!$K$2:$K$301,$AB35))),INDEX(기본자료!$K$2:$K$301,$AB35),IF(INDEX(기본자료!$K$2:$K$301,$AB35)&lt;1000000,INDEX(기본자료!$K$2:$K$301,$AB35),IF(AND(INDEX(기본자료!$K$2:$K$301,$AB35)&gt;=10000101,INT(MOD(INDEX(기본자료!$K$2:$K$301,$AB35),10000)/100)&gt;=1,INT(MOD(INDEX(기본자료!$K$2:$K$301,$AB35),10000)/100)&lt;=12,MOD(INDEX(기본자료!$K$2:$K$301,$AB35),100)&gt;=1,MOD(INDEX(기본자료!$K$2:$K$301,$AB35),100)&lt;=31),DATE(INT(INDEX(기본자료!$K$2:$K$301,$AB35)/10000),INT(MOD(INDEX(기본자료!$K$2:$K$301,$AB35),10000)/100),MOD(INDEX(기본자료!$K$2:$K$301,$AB35),100)),INDEX(기본자료!$K$2:$K$301,$AB35)&amp;"")))))</f>
        <v/>
      </c>
      <c r="F35" s="10">
        <f>IF($AB35="","",IF(INDEX(기본자료!$D$2:$D$301,$AB35)="","",INDEX(기본자료!$D$2:$D$301,$AB35)))</f>
        <v/>
      </c>
      <c r="G35" s="10">
        <f>IF($AB35="","",IF(INDEX(기본자료!$E$2:$E$301,$AB35)="","",INDEX(기본자료!$E$2:$E$301,$AB35)))</f>
        <v/>
      </c>
      <c r="H35" s="10">
        <f>IF($AB35="","",IF(INDEX(기본자료!$F$2:$F$301,$AB35)="","",INDEX(기본자료!$F$2:$F$301,$AB35)))</f>
        <v/>
      </c>
      <c r="I35" s="11">
        <f>IF($AB35="","",IF(INDEX(기본자료!$G$2:$G$301,$AB35)="","",IF(NOT(ISNUMBER(INDEX(기본자료!$G$2:$G$301,$AB35))),INDEX(기본자료!$G$2:$G$301,$AB35),IF(INDEX(기본자료!$G$2:$G$301,$AB35)&lt;1000000,INDEX(기본자료!$G$2:$G$301,$AB35),IF(AND(INDEX(기본자료!$G$2:$G$301,$AB35)&gt;=10000101,INT(MOD(INDEX(기본자료!$G$2:$G$301,$AB35),10000)/100)&gt;=1,INT(MOD(INDEX(기본자료!$G$2:$G$301,$AB35),10000)/100)&lt;=12,MOD(INDEX(기본자료!$G$2:$G$301,$AB35),100)&gt;=1,MOD(INDEX(기본자료!$G$2:$G$301,$AB35),100)&lt;=31),DATE(INT(INDEX(기본자료!$G$2:$G$301,$AB35)/10000),INT(MOD(INDEX(기본자료!$G$2:$G$301,$AB35),10000)/100),MOD(INDEX(기본자료!$G$2:$G$301,$AB35),100)),INDEX(기본자료!$G$2:$G$301,$AB35)&amp;"")))))</f>
        <v/>
      </c>
      <c r="J35" s="10">
        <f>IF($AB35="","",IF(INDEX(기본자료!$H$2:$H$301,$AB35)="","",INDEX(기본자료!$H$2:$H$301,$AB35)))</f>
        <v/>
      </c>
      <c r="K35" s="10">
        <f>IF($AB35="","",IF(INDEX(기본자료!$I$2:$I$301,$AB35)="","",INDEX(기본자료!$I$2:$I$301,$AB35)))</f>
        <v/>
      </c>
      <c r="L35" s="10">
        <f>IF($AB35="","",IF(INDEX(기본자료!$A$2:$A$301,$AB35)="","",INDEX(기본자료!$A$2:$A$301,$AB35)))</f>
        <v/>
      </c>
      <c r="M35" s="15" t="n"/>
      <c r="N35" s="10">
        <f>IF($B35="","",IF(AND($U35="파견중",$Q35&lt;&gt;""),$Q35,IF(AND($AD35&lt;&gt;"",LEFT($AD35,1)&lt;&gt;"⚠"),LEFT($AD35,FIND(" ",$AD35)-1),IF($H35="","",IF(RIGHT($H35,2)="병원",$H35,$H35&amp;"병원")))))</f>
        <v/>
      </c>
      <c r="O35" s="10">
        <f>IF($B35="","",IF(AND($U35="파견중",$Q35&lt;&gt;""),IF($R35&lt;&gt;"",$R35,"파견과 미입력"),IF(AND($AD35&lt;&gt;"",LEFT($AD35,1)&lt;&gt;"⚠"),MID($AD35,FIND(" ",$AD35)+1,60),IF($F35="","",IF($F35="인턴","수련교육부(인턴)",$F35)))))</f>
        <v/>
      </c>
      <c r="P35" s="10">
        <f>IF($B35="","",IF($AK35&lt;&gt;"",IF(AND(TODAY()&gt;=INDEX(파견수련계획!$AB$4:$AB$83,$AK35),OR(NOT(ISNUMBER(INDEX(파견수련계획!$AC$4:$AC$83,$AK35))),TODAY()&lt;=INDEX(파견수련계획!$AC$4:$AC$83,$AK35))),"다기관",IF($AF35="","",INDEX(파견수련계획!$T$4:$T$83,$AF35))),IF($AF35="","",INDEX(파견수련계획!$T$4:$T$83,$AF35))))</f>
        <v/>
      </c>
      <c r="Q35" s="10">
        <f>IF($AF35="","",INDEX(파견수련계획!$S$4:$S$83,$AF35))</f>
        <v/>
      </c>
      <c r="R35" s="10">
        <f>IF($AF35="","",INDEX(파견수련계획!$U$4:$U$83,$AF35))</f>
        <v/>
      </c>
      <c r="S35" s="11">
        <f>IF($AF35="","",IF(INDEX(파견수련계획!$H$4:$H$83,$AF35)="","",INDEX(파견수련계획!$H$4:$H$83,$AF35)))</f>
        <v/>
      </c>
      <c r="T35" s="11">
        <f>IF($AF35="","",IF(INDEX(파견수련계획!$I$4:$I$83,$AF35)="","",INDEX(파견수련계획!$I$4:$I$83,$AF35)))</f>
        <v/>
      </c>
      <c r="U35" s="10">
        <f>IF($AF35="","",INDEX(파견수련계획!$X$4:$X$83,$AF35))</f>
        <v/>
      </c>
      <c r="V35" s="17">
        <f>IF($AF35="","",INDEX(파견수련계획!$V$4:$V$83,$AF35))</f>
        <v/>
      </c>
      <c r="W35" s="17">
        <f>IF(AND($U35="파견중",$T35&lt;&gt;""),$T35-TODAY(),"")</f>
        <v/>
      </c>
      <c r="X35" s="17">
        <f>IF(OR($B35="",TRIM($J35&amp;"")=""),"",SUMPRODUCT((파견수련계획!$Q$4:$Q$83=TRIM($J35&amp;""))*파견수련계획!$W$4:$W$83))</f>
        <v/>
      </c>
      <c r="Y35" s="10">
        <f>IF($B35="","",IF($AG35="","",IF(IF(TRIM($J35&amp;"")="",0,SUMPRODUCT((파견수련계획!$Q$4:$Q$83=TRIM($J35&amp;""))*파견수련계획!$AD$4:$AD$83))&gt;0,$AE35,IF(N($X35)&lt;=0,$AG35,IF($AH35+$AI35=DAY(EOMONTH(요약!$B$3,0)),IF(AND($AH35&gt;=요약!$E$3,$AI35&lt;요약!$E$3),"서울병원",IF(AND($AI35&gt;=요약!$E$3,$AH35&lt;요약!$E$3),"구리병원","⚠15일 판정불가(서울 "&amp;$AH35&amp;"일/구리 "&amp;$AI35&amp;"일)")),IF($AJ35="",$AE35,IF(INDEX(파견수련계획!$T$4:$T$83,$AJ35)="통합수련",INDEX(파견수련계획!$S$4:$S$83,$AJ35),$AE35)))))))</f>
        <v/>
      </c>
      <c r="Z35" s="19">
        <f>IF($B35="","",IF($AB35="","기본자료에 없는 사번",IF(COUNTIF($B$2:$B$61,$B35)&gt;1,"중복 사번",IF($AE35="","소속(입사장소) 입력",IF(IF(TRIM($J35&amp;"")="",0,SUMPRODUCT((파견수련계획!$Q$4:$Q$83=TRIM($J35&amp;""))*(파견수련계획!$AA$4:$AA$83&lt;&gt;"")))&gt;0,"파견수련계획 입력오류 확인",IF(LEFT($Y35,1)="⚠","서울·구리 15일 판정 불가(양쪽 모두 이상/미만)",IF(IF($AC35="",0,N(INDEX(인턴근무계획!$T$3:$T$62,$AC35)))&gt;0,"인턴계획 입력오류 확인",IF(AND($AC35&lt;&gt;"",$U35&lt;&gt;"파견중",$N35&lt;&gt;$AE35),"인턴 타지역 근무: 파견 여부 확인","정상"))))))))</f>
        <v/>
      </c>
      <c r="AA35" s="5" t="n"/>
      <c r="AB35" s="10">
        <f>IF($B35="","",IFERROR(MATCH($B35,기본자료!$B$2:$B$301,0),IFERROR(MATCH($B35&amp;"",기본자료!$B$2:$B$301,0),IFERROR(MATCH(VALUE($B35),기본자료!$B$2:$B$301,0),""))))</f>
        <v/>
      </c>
      <c r="AC35" s="10">
        <f>IF($B35="","",IFERROR(MATCH($B35,인턴근무계획!$D$3:$D$62,0),IFERROR(MATCH($B35&amp;"",인턴근무계획!$D$3:$D$62,0),IFERROR(MATCH(VALUE($B35),인턴근무계획!$D$3:$D$62,0),""))))</f>
        <v/>
      </c>
      <c r="AD35" s="10">
        <f>IF(OR($AC35="",인턴현황!$G$3=""),"",INDEX(인턴근무계획!$M$3:$R$62,$AC35,인턴현황!$G$3)&amp;"")</f>
        <v/>
      </c>
      <c r="AE35" s="10">
        <f>IF($B35="","",IF($M35&lt;&gt;"",$M35,IF($AF35&lt;&gt;"",IF(LEFT(INDEX(파견수련계획!$R$4:$R$83,$AF35),1)&lt;&gt;"⚠",INDEX(파견수련계획!$R$4:$R$83,$AF35),IF($H35="","",IF(RIGHT($H35,2)="병원",$H35,$H35&amp;"병원"))),IF($H35="","",IF(RIGHT($H35,2)="병원",$H35,$H35&amp;"병원")))))</f>
        <v/>
      </c>
      <c r="AF35" s="10">
        <f>IF(OR($B35="",TRIM($J35&amp;"")=""),"",IFERROR(MATCH(TRIM($J35&amp;"")&amp;"|파견중",파견수련계획!$Y$4:$Y$83,0),IFERROR(MATCH(TRIM($J35&amp;"")&amp;"|파견예정",파견수련계획!$Y$4:$Y$83,0),IFERROR(MATCH(TRIM($J35&amp;"")&amp;"|파견종료",파견수련계획!$Y$4:$Y$83,0),""))))</f>
        <v/>
      </c>
      <c r="AG35" s="10">
        <f>IF($B35="","",IF(AND(IF(OR($AC35="",인턴현황!$K$2=""),"",INDEX(인턴근무계획!$M$3:$R$62,$AC35,인턴현황!$K$2)&amp;"")&lt;&gt;"",LEFT(IF(OR($AC35="",인턴현황!$K$2=""),"",INDEX(인턴근무계획!$M$3:$R$62,$AC35,인턴현황!$K$2)&amp;""),1)&lt;&gt;"⚠"),LEFT(IF(OR($AC35="",인턴현황!$K$2=""),"",INDEX(인턴근무계획!$M$3:$R$62,$AC35,인턴현황!$K$2)&amp;""),FIND(" ",IF(OR($AC35="",인턴현황!$K$2=""),"",INDEX(인턴근무계획!$M$3:$R$62,$AC35,인턴현황!$K$2)&amp;""))-1),$AE35))</f>
        <v/>
      </c>
      <c r="AH35" s="17">
        <f>IF($B35="","",IF(TRIM($J35&amp;"")="",0,SUMPRODUCT((파견수련계획!$Q$4:$Q$83=TRIM($J35&amp;""))*(파견수련계획!$S$4:$S$83="서울병원")*파견수련계획!$W$4:$W$83))+IF($AG35="서울병원",MAX(0,DAY(EOMONTH(요약!$B$3,0))-N($X35)),0))</f>
        <v/>
      </c>
      <c r="AI35" s="17">
        <f>IF($B35="","",IF(TRIM($J35&amp;"")="",0,SUMPRODUCT((파견수련계획!$Q$4:$Q$83=TRIM($J35&amp;""))*(파견수련계획!$S$4:$S$83="구리병원")*파견수련계획!$W$4:$W$83))+IF($AG35="구리병원",MAX(0,DAY(EOMONTH(요약!$B$3,0))-N($X35)),0))</f>
        <v/>
      </c>
      <c r="AJ35" s="10">
        <f>IF(OR($B35="",TRIM($J35&amp;"")=""),"",IFERROR(MATCH(TRIM($J35&amp;"")&amp;"|월",파견수련계획!$Z$4:$Z$83,0),""))</f>
        <v/>
      </c>
      <c r="AK35" s="10">
        <f>IF(OR($B35="",TRIM($J35&amp;"")=""),"",IFERROR(MATCH(TRIM($J35&amp;"")&amp;"|다기관",파견수련계획!$AE$4:$AE$83,0),""))</f>
        <v/>
      </c>
      <c r="AL35" s="10">
        <f>IF($AK35="","","다기관 "&amp;TEXT(INDEX(파견수련계획!$AB$4:$AB$83,$AK35),"yyyy-mm-dd")&amp;"~"&amp;IF(ISNUMBER(INDEX(파견수련계획!$AC$4:$AC$83,$AK35)),TEXT(INDEX(파견수련계획!$AC$4:$AC$83,$AK35),"yyyy-mm-dd"),""))</f>
        <v/>
      </c>
    </row>
    <row r="36">
      <c r="A36" s="10">
        <f>IF(B36="","",ROW()-1)</f>
        <v/>
      </c>
      <c r="B36" s="18" t="n"/>
      <c r="C36" s="10">
        <f>IF($AB36="","",IF(INDEX(기본자료!$C$2:$C$301,$AB36)="","",INDEX(기본자료!$C$2:$C$301,$AB36)))</f>
        <v/>
      </c>
      <c r="D36" s="10">
        <f>IF($AB36="","",IF(INDEX(기본자료!$J$2:$J$301,$AB36)="","",INDEX(기본자료!$J$2:$J$301,$AB36)))</f>
        <v/>
      </c>
      <c r="E36" s="11">
        <f>IF($AB36="","",IF(INDEX(기본자료!$K$2:$K$301,$AB36)="","",IF(NOT(ISNUMBER(INDEX(기본자료!$K$2:$K$301,$AB36))),INDEX(기본자료!$K$2:$K$301,$AB36),IF(INDEX(기본자료!$K$2:$K$301,$AB36)&lt;1000000,INDEX(기본자료!$K$2:$K$301,$AB36),IF(AND(INDEX(기본자료!$K$2:$K$301,$AB36)&gt;=10000101,INT(MOD(INDEX(기본자료!$K$2:$K$301,$AB36),10000)/100)&gt;=1,INT(MOD(INDEX(기본자료!$K$2:$K$301,$AB36),10000)/100)&lt;=12,MOD(INDEX(기본자료!$K$2:$K$301,$AB36),100)&gt;=1,MOD(INDEX(기본자료!$K$2:$K$301,$AB36),100)&lt;=31),DATE(INT(INDEX(기본자료!$K$2:$K$301,$AB36)/10000),INT(MOD(INDEX(기본자료!$K$2:$K$301,$AB36),10000)/100),MOD(INDEX(기본자료!$K$2:$K$301,$AB36),100)),INDEX(기본자료!$K$2:$K$301,$AB36)&amp;"")))))</f>
        <v/>
      </c>
      <c r="F36" s="10">
        <f>IF($AB36="","",IF(INDEX(기본자료!$D$2:$D$301,$AB36)="","",INDEX(기본자료!$D$2:$D$301,$AB36)))</f>
        <v/>
      </c>
      <c r="G36" s="10">
        <f>IF($AB36="","",IF(INDEX(기본자료!$E$2:$E$301,$AB36)="","",INDEX(기본자료!$E$2:$E$301,$AB36)))</f>
        <v/>
      </c>
      <c r="H36" s="10">
        <f>IF($AB36="","",IF(INDEX(기본자료!$F$2:$F$301,$AB36)="","",INDEX(기본자료!$F$2:$F$301,$AB36)))</f>
        <v/>
      </c>
      <c r="I36" s="11">
        <f>IF($AB36="","",IF(INDEX(기본자료!$G$2:$G$301,$AB36)="","",IF(NOT(ISNUMBER(INDEX(기본자료!$G$2:$G$301,$AB36))),INDEX(기본자료!$G$2:$G$301,$AB36),IF(INDEX(기본자료!$G$2:$G$301,$AB36)&lt;1000000,INDEX(기본자료!$G$2:$G$301,$AB36),IF(AND(INDEX(기본자료!$G$2:$G$301,$AB36)&gt;=10000101,INT(MOD(INDEX(기본자료!$G$2:$G$301,$AB36),10000)/100)&gt;=1,INT(MOD(INDEX(기본자료!$G$2:$G$301,$AB36),10000)/100)&lt;=12,MOD(INDEX(기본자료!$G$2:$G$301,$AB36),100)&gt;=1,MOD(INDEX(기본자료!$G$2:$G$301,$AB36),100)&lt;=31),DATE(INT(INDEX(기본자료!$G$2:$G$301,$AB36)/10000),INT(MOD(INDEX(기본자료!$G$2:$G$301,$AB36),10000)/100),MOD(INDEX(기본자료!$G$2:$G$301,$AB36),100)),INDEX(기본자료!$G$2:$G$301,$AB36)&amp;"")))))</f>
        <v/>
      </c>
      <c r="J36" s="10">
        <f>IF($AB36="","",IF(INDEX(기본자료!$H$2:$H$301,$AB36)="","",INDEX(기본자료!$H$2:$H$301,$AB36)))</f>
        <v/>
      </c>
      <c r="K36" s="10">
        <f>IF($AB36="","",IF(INDEX(기본자료!$I$2:$I$301,$AB36)="","",INDEX(기본자료!$I$2:$I$301,$AB36)))</f>
        <v/>
      </c>
      <c r="L36" s="10">
        <f>IF($AB36="","",IF(INDEX(기본자료!$A$2:$A$301,$AB36)="","",INDEX(기본자료!$A$2:$A$301,$AB36)))</f>
        <v/>
      </c>
      <c r="M36" s="15" t="n"/>
      <c r="N36" s="10">
        <f>IF($B36="","",IF(AND($U36="파견중",$Q36&lt;&gt;""),$Q36,IF(AND($AD36&lt;&gt;"",LEFT($AD36,1)&lt;&gt;"⚠"),LEFT($AD36,FIND(" ",$AD36)-1),IF($H36="","",IF(RIGHT($H36,2)="병원",$H36,$H36&amp;"병원")))))</f>
        <v/>
      </c>
      <c r="O36" s="10">
        <f>IF($B36="","",IF(AND($U36="파견중",$Q36&lt;&gt;""),IF($R36&lt;&gt;"",$R36,"파견과 미입력"),IF(AND($AD36&lt;&gt;"",LEFT($AD36,1)&lt;&gt;"⚠"),MID($AD36,FIND(" ",$AD36)+1,60),IF($F36="","",IF($F36="인턴","수련교육부(인턴)",$F36)))))</f>
        <v/>
      </c>
      <c r="P36" s="10">
        <f>IF($B36="","",IF($AK36&lt;&gt;"",IF(AND(TODAY()&gt;=INDEX(파견수련계획!$AB$4:$AB$83,$AK36),OR(NOT(ISNUMBER(INDEX(파견수련계획!$AC$4:$AC$83,$AK36))),TODAY()&lt;=INDEX(파견수련계획!$AC$4:$AC$83,$AK36))),"다기관",IF($AF36="","",INDEX(파견수련계획!$T$4:$T$83,$AF36))),IF($AF36="","",INDEX(파견수련계획!$T$4:$T$83,$AF36))))</f>
        <v/>
      </c>
      <c r="Q36" s="10">
        <f>IF($AF36="","",INDEX(파견수련계획!$S$4:$S$83,$AF36))</f>
        <v/>
      </c>
      <c r="R36" s="10">
        <f>IF($AF36="","",INDEX(파견수련계획!$U$4:$U$83,$AF36))</f>
        <v/>
      </c>
      <c r="S36" s="11">
        <f>IF($AF36="","",IF(INDEX(파견수련계획!$H$4:$H$83,$AF36)="","",INDEX(파견수련계획!$H$4:$H$83,$AF36)))</f>
        <v/>
      </c>
      <c r="T36" s="11">
        <f>IF($AF36="","",IF(INDEX(파견수련계획!$I$4:$I$83,$AF36)="","",INDEX(파견수련계획!$I$4:$I$83,$AF36)))</f>
        <v/>
      </c>
      <c r="U36" s="10">
        <f>IF($AF36="","",INDEX(파견수련계획!$X$4:$X$83,$AF36))</f>
        <v/>
      </c>
      <c r="V36" s="17">
        <f>IF($AF36="","",INDEX(파견수련계획!$V$4:$V$83,$AF36))</f>
        <v/>
      </c>
      <c r="W36" s="17">
        <f>IF(AND($U36="파견중",$T36&lt;&gt;""),$T36-TODAY(),"")</f>
        <v/>
      </c>
      <c r="X36" s="17">
        <f>IF(OR($B36="",TRIM($J36&amp;"")=""),"",SUMPRODUCT((파견수련계획!$Q$4:$Q$83=TRIM($J36&amp;""))*파견수련계획!$W$4:$W$83))</f>
        <v/>
      </c>
      <c r="Y36" s="10">
        <f>IF($B36="","",IF($AG36="","",IF(IF(TRIM($J36&amp;"")="",0,SUMPRODUCT((파견수련계획!$Q$4:$Q$83=TRIM($J36&amp;""))*파견수련계획!$AD$4:$AD$83))&gt;0,$AE36,IF(N($X36)&lt;=0,$AG36,IF($AH36+$AI36=DAY(EOMONTH(요약!$B$3,0)),IF(AND($AH36&gt;=요약!$E$3,$AI36&lt;요약!$E$3),"서울병원",IF(AND($AI36&gt;=요약!$E$3,$AH36&lt;요약!$E$3),"구리병원","⚠15일 판정불가(서울 "&amp;$AH36&amp;"일/구리 "&amp;$AI36&amp;"일)")),IF($AJ36="",$AE36,IF(INDEX(파견수련계획!$T$4:$T$83,$AJ36)="통합수련",INDEX(파견수련계획!$S$4:$S$83,$AJ36),$AE36)))))))</f>
        <v/>
      </c>
      <c r="Z36" s="19">
        <f>IF($B36="","",IF($AB36="","기본자료에 없는 사번",IF(COUNTIF($B$2:$B$61,$B36)&gt;1,"중복 사번",IF($AE36="","소속(입사장소) 입력",IF(IF(TRIM($J36&amp;"")="",0,SUMPRODUCT((파견수련계획!$Q$4:$Q$83=TRIM($J36&amp;""))*(파견수련계획!$AA$4:$AA$83&lt;&gt;"")))&gt;0,"파견수련계획 입력오류 확인",IF(LEFT($Y36,1)="⚠","서울·구리 15일 판정 불가(양쪽 모두 이상/미만)",IF(IF($AC36="",0,N(INDEX(인턴근무계획!$T$3:$T$62,$AC36)))&gt;0,"인턴계획 입력오류 확인",IF(AND($AC36&lt;&gt;"",$U36&lt;&gt;"파견중",$N36&lt;&gt;$AE36),"인턴 타지역 근무: 파견 여부 확인","정상"))))))))</f>
        <v/>
      </c>
      <c r="AA36" s="5" t="n"/>
      <c r="AB36" s="10">
        <f>IF($B36="","",IFERROR(MATCH($B36,기본자료!$B$2:$B$301,0),IFERROR(MATCH($B36&amp;"",기본자료!$B$2:$B$301,0),IFERROR(MATCH(VALUE($B36),기본자료!$B$2:$B$301,0),""))))</f>
        <v/>
      </c>
      <c r="AC36" s="10">
        <f>IF($B36="","",IFERROR(MATCH($B36,인턴근무계획!$D$3:$D$62,0),IFERROR(MATCH($B36&amp;"",인턴근무계획!$D$3:$D$62,0),IFERROR(MATCH(VALUE($B36),인턴근무계획!$D$3:$D$62,0),""))))</f>
        <v/>
      </c>
      <c r="AD36" s="10">
        <f>IF(OR($AC36="",인턴현황!$G$3=""),"",INDEX(인턴근무계획!$M$3:$R$62,$AC36,인턴현황!$G$3)&amp;"")</f>
        <v/>
      </c>
      <c r="AE36" s="10">
        <f>IF($B36="","",IF($M36&lt;&gt;"",$M36,IF($AF36&lt;&gt;"",IF(LEFT(INDEX(파견수련계획!$R$4:$R$83,$AF36),1)&lt;&gt;"⚠",INDEX(파견수련계획!$R$4:$R$83,$AF36),IF($H36="","",IF(RIGHT($H36,2)="병원",$H36,$H36&amp;"병원"))),IF($H36="","",IF(RIGHT($H36,2)="병원",$H36,$H36&amp;"병원")))))</f>
        <v/>
      </c>
      <c r="AF36" s="10">
        <f>IF(OR($B36="",TRIM($J36&amp;"")=""),"",IFERROR(MATCH(TRIM($J36&amp;"")&amp;"|파견중",파견수련계획!$Y$4:$Y$83,0),IFERROR(MATCH(TRIM($J36&amp;"")&amp;"|파견예정",파견수련계획!$Y$4:$Y$83,0),IFERROR(MATCH(TRIM($J36&amp;"")&amp;"|파견종료",파견수련계획!$Y$4:$Y$83,0),""))))</f>
        <v/>
      </c>
      <c r="AG36" s="10">
        <f>IF($B36="","",IF(AND(IF(OR($AC36="",인턴현황!$K$2=""),"",INDEX(인턴근무계획!$M$3:$R$62,$AC36,인턴현황!$K$2)&amp;"")&lt;&gt;"",LEFT(IF(OR($AC36="",인턴현황!$K$2=""),"",INDEX(인턴근무계획!$M$3:$R$62,$AC36,인턴현황!$K$2)&amp;""),1)&lt;&gt;"⚠"),LEFT(IF(OR($AC36="",인턴현황!$K$2=""),"",INDEX(인턴근무계획!$M$3:$R$62,$AC36,인턴현황!$K$2)&amp;""),FIND(" ",IF(OR($AC36="",인턴현황!$K$2=""),"",INDEX(인턴근무계획!$M$3:$R$62,$AC36,인턴현황!$K$2)&amp;""))-1),$AE36))</f>
        <v/>
      </c>
      <c r="AH36" s="17">
        <f>IF($B36="","",IF(TRIM($J36&amp;"")="",0,SUMPRODUCT((파견수련계획!$Q$4:$Q$83=TRIM($J36&amp;""))*(파견수련계획!$S$4:$S$83="서울병원")*파견수련계획!$W$4:$W$83))+IF($AG36="서울병원",MAX(0,DAY(EOMONTH(요약!$B$3,0))-N($X36)),0))</f>
        <v/>
      </c>
      <c r="AI36" s="17">
        <f>IF($B36="","",IF(TRIM($J36&amp;"")="",0,SUMPRODUCT((파견수련계획!$Q$4:$Q$83=TRIM($J36&amp;""))*(파견수련계획!$S$4:$S$83="구리병원")*파견수련계획!$W$4:$W$83))+IF($AG36="구리병원",MAX(0,DAY(EOMONTH(요약!$B$3,0))-N($X36)),0))</f>
        <v/>
      </c>
      <c r="AJ36" s="10">
        <f>IF(OR($B36="",TRIM($J36&amp;"")=""),"",IFERROR(MATCH(TRIM($J36&amp;"")&amp;"|월",파견수련계획!$Z$4:$Z$83,0),""))</f>
        <v/>
      </c>
      <c r="AK36" s="10">
        <f>IF(OR($B36="",TRIM($J36&amp;"")=""),"",IFERROR(MATCH(TRIM($J36&amp;"")&amp;"|다기관",파견수련계획!$AE$4:$AE$83,0),""))</f>
        <v/>
      </c>
      <c r="AL36" s="10">
        <f>IF($AK36="","","다기관 "&amp;TEXT(INDEX(파견수련계획!$AB$4:$AB$83,$AK36),"yyyy-mm-dd")&amp;"~"&amp;IF(ISNUMBER(INDEX(파견수련계획!$AC$4:$AC$83,$AK36)),TEXT(INDEX(파견수련계획!$AC$4:$AC$83,$AK36),"yyyy-mm-dd"),""))</f>
        <v/>
      </c>
    </row>
    <row r="37">
      <c r="A37" s="10">
        <f>IF(B37="","",ROW()-1)</f>
        <v/>
      </c>
      <c r="B37" s="18" t="n"/>
      <c r="C37" s="10">
        <f>IF($AB37="","",IF(INDEX(기본자료!$C$2:$C$301,$AB37)="","",INDEX(기본자료!$C$2:$C$301,$AB37)))</f>
        <v/>
      </c>
      <c r="D37" s="10">
        <f>IF($AB37="","",IF(INDEX(기본자료!$J$2:$J$301,$AB37)="","",INDEX(기본자료!$J$2:$J$301,$AB37)))</f>
        <v/>
      </c>
      <c r="E37" s="11">
        <f>IF($AB37="","",IF(INDEX(기본자료!$K$2:$K$301,$AB37)="","",IF(NOT(ISNUMBER(INDEX(기본자료!$K$2:$K$301,$AB37))),INDEX(기본자료!$K$2:$K$301,$AB37),IF(INDEX(기본자료!$K$2:$K$301,$AB37)&lt;1000000,INDEX(기본자료!$K$2:$K$301,$AB37),IF(AND(INDEX(기본자료!$K$2:$K$301,$AB37)&gt;=10000101,INT(MOD(INDEX(기본자료!$K$2:$K$301,$AB37),10000)/100)&gt;=1,INT(MOD(INDEX(기본자료!$K$2:$K$301,$AB37),10000)/100)&lt;=12,MOD(INDEX(기본자료!$K$2:$K$301,$AB37),100)&gt;=1,MOD(INDEX(기본자료!$K$2:$K$301,$AB37),100)&lt;=31),DATE(INT(INDEX(기본자료!$K$2:$K$301,$AB37)/10000),INT(MOD(INDEX(기본자료!$K$2:$K$301,$AB37),10000)/100),MOD(INDEX(기본자료!$K$2:$K$301,$AB37),100)),INDEX(기본자료!$K$2:$K$301,$AB37)&amp;"")))))</f>
        <v/>
      </c>
      <c r="F37" s="10">
        <f>IF($AB37="","",IF(INDEX(기본자료!$D$2:$D$301,$AB37)="","",INDEX(기본자료!$D$2:$D$301,$AB37)))</f>
        <v/>
      </c>
      <c r="G37" s="10">
        <f>IF($AB37="","",IF(INDEX(기본자료!$E$2:$E$301,$AB37)="","",INDEX(기본자료!$E$2:$E$301,$AB37)))</f>
        <v/>
      </c>
      <c r="H37" s="10">
        <f>IF($AB37="","",IF(INDEX(기본자료!$F$2:$F$301,$AB37)="","",INDEX(기본자료!$F$2:$F$301,$AB37)))</f>
        <v/>
      </c>
      <c r="I37" s="11">
        <f>IF($AB37="","",IF(INDEX(기본자료!$G$2:$G$301,$AB37)="","",IF(NOT(ISNUMBER(INDEX(기본자료!$G$2:$G$301,$AB37))),INDEX(기본자료!$G$2:$G$301,$AB37),IF(INDEX(기본자료!$G$2:$G$301,$AB37)&lt;1000000,INDEX(기본자료!$G$2:$G$301,$AB37),IF(AND(INDEX(기본자료!$G$2:$G$301,$AB37)&gt;=10000101,INT(MOD(INDEX(기본자료!$G$2:$G$301,$AB37),10000)/100)&gt;=1,INT(MOD(INDEX(기본자료!$G$2:$G$301,$AB37),10000)/100)&lt;=12,MOD(INDEX(기본자료!$G$2:$G$301,$AB37),100)&gt;=1,MOD(INDEX(기본자료!$G$2:$G$301,$AB37),100)&lt;=31),DATE(INT(INDEX(기본자료!$G$2:$G$301,$AB37)/10000),INT(MOD(INDEX(기본자료!$G$2:$G$301,$AB37),10000)/100),MOD(INDEX(기본자료!$G$2:$G$301,$AB37),100)),INDEX(기본자료!$G$2:$G$301,$AB37)&amp;"")))))</f>
        <v/>
      </c>
      <c r="J37" s="10">
        <f>IF($AB37="","",IF(INDEX(기본자료!$H$2:$H$301,$AB37)="","",INDEX(기본자료!$H$2:$H$301,$AB37)))</f>
        <v/>
      </c>
      <c r="K37" s="10">
        <f>IF($AB37="","",IF(INDEX(기본자료!$I$2:$I$301,$AB37)="","",INDEX(기본자료!$I$2:$I$301,$AB37)))</f>
        <v/>
      </c>
      <c r="L37" s="10">
        <f>IF($AB37="","",IF(INDEX(기본자료!$A$2:$A$301,$AB37)="","",INDEX(기본자료!$A$2:$A$301,$AB37)))</f>
        <v/>
      </c>
      <c r="M37" s="15" t="n"/>
      <c r="N37" s="10">
        <f>IF($B37="","",IF(AND($U37="파견중",$Q37&lt;&gt;""),$Q37,IF(AND($AD37&lt;&gt;"",LEFT($AD37,1)&lt;&gt;"⚠"),LEFT($AD37,FIND(" ",$AD37)-1),IF($H37="","",IF(RIGHT($H37,2)="병원",$H37,$H37&amp;"병원")))))</f>
        <v/>
      </c>
      <c r="O37" s="10">
        <f>IF($B37="","",IF(AND($U37="파견중",$Q37&lt;&gt;""),IF($R37&lt;&gt;"",$R37,"파견과 미입력"),IF(AND($AD37&lt;&gt;"",LEFT($AD37,1)&lt;&gt;"⚠"),MID($AD37,FIND(" ",$AD37)+1,60),IF($F37="","",IF($F37="인턴","수련교육부(인턴)",$F37)))))</f>
        <v/>
      </c>
      <c r="P37" s="10">
        <f>IF($B37="","",IF($AK37&lt;&gt;"",IF(AND(TODAY()&gt;=INDEX(파견수련계획!$AB$4:$AB$83,$AK37),OR(NOT(ISNUMBER(INDEX(파견수련계획!$AC$4:$AC$83,$AK37))),TODAY()&lt;=INDEX(파견수련계획!$AC$4:$AC$83,$AK37))),"다기관",IF($AF37="","",INDEX(파견수련계획!$T$4:$T$83,$AF37))),IF($AF37="","",INDEX(파견수련계획!$T$4:$T$83,$AF37))))</f>
        <v/>
      </c>
      <c r="Q37" s="10">
        <f>IF($AF37="","",INDEX(파견수련계획!$S$4:$S$83,$AF37))</f>
        <v/>
      </c>
      <c r="R37" s="10">
        <f>IF($AF37="","",INDEX(파견수련계획!$U$4:$U$83,$AF37))</f>
        <v/>
      </c>
      <c r="S37" s="11">
        <f>IF($AF37="","",IF(INDEX(파견수련계획!$H$4:$H$83,$AF37)="","",INDEX(파견수련계획!$H$4:$H$83,$AF37)))</f>
        <v/>
      </c>
      <c r="T37" s="11">
        <f>IF($AF37="","",IF(INDEX(파견수련계획!$I$4:$I$83,$AF37)="","",INDEX(파견수련계획!$I$4:$I$83,$AF37)))</f>
        <v/>
      </c>
      <c r="U37" s="10">
        <f>IF($AF37="","",INDEX(파견수련계획!$X$4:$X$83,$AF37))</f>
        <v/>
      </c>
      <c r="V37" s="17">
        <f>IF($AF37="","",INDEX(파견수련계획!$V$4:$V$83,$AF37))</f>
        <v/>
      </c>
      <c r="W37" s="17">
        <f>IF(AND($U37="파견중",$T37&lt;&gt;""),$T37-TODAY(),"")</f>
        <v/>
      </c>
      <c r="X37" s="17">
        <f>IF(OR($B37="",TRIM($J37&amp;"")=""),"",SUMPRODUCT((파견수련계획!$Q$4:$Q$83=TRIM($J37&amp;""))*파견수련계획!$W$4:$W$83))</f>
        <v/>
      </c>
      <c r="Y37" s="10">
        <f>IF($B37="","",IF($AG37="","",IF(IF(TRIM($J37&amp;"")="",0,SUMPRODUCT((파견수련계획!$Q$4:$Q$83=TRIM($J37&amp;""))*파견수련계획!$AD$4:$AD$83))&gt;0,$AE37,IF(N($X37)&lt;=0,$AG37,IF($AH37+$AI37=DAY(EOMONTH(요약!$B$3,0)),IF(AND($AH37&gt;=요약!$E$3,$AI37&lt;요약!$E$3),"서울병원",IF(AND($AI37&gt;=요약!$E$3,$AH37&lt;요약!$E$3),"구리병원","⚠15일 판정불가(서울 "&amp;$AH37&amp;"일/구리 "&amp;$AI37&amp;"일)")),IF($AJ37="",$AE37,IF(INDEX(파견수련계획!$T$4:$T$83,$AJ37)="통합수련",INDEX(파견수련계획!$S$4:$S$83,$AJ37),$AE37)))))))</f>
        <v/>
      </c>
      <c r="Z37" s="19">
        <f>IF($B37="","",IF($AB37="","기본자료에 없는 사번",IF(COUNTIF($B$2:$B$61,$B37)&gt;1,"중복 사번",IF($AE37="","소속(입사장소) 입력",IF(IF(TRIM($J37&amp;"")="",0,SUMPRODUCT((파견수련계획!$Q$4:$Q$83=TRIM($J37&amp;""))*(파견수련계획!$AA$4:$AA$83&lt;&gt;"")))&gt;0,"파견수련계획 입력오류 확인",IF(LEFT($Y37,1)="⚠","서울·구리 15일 판정 불가(양쪽 모두 이상/미만)",IF(IF($AC37="",0,N(INDEX(인턴근무계획!$T$3:$T$62,$AC37)))&gt;0,"인턴계획 입력오류 확인",IF(AND($AC37&lt;&gt;"",$U37&lt;&gt;"파견중",$N37&lt;&gt;$AE37),"인턴 타지역 근무: 파견 여부 확인","정상"))))))))</f>
        <v/>
      </c>
      <c r="AA37" s="5" t="n"/>
      <c r="AB37" s="10">
        <f>IF($B37="","",IFERROR(MATCH($B37,기본자료!$B$2:$B$301,0),IFERROR(MATCH($B37&amp;"",기본자료!$B$2:$B$301,0),IFERROR(MATCH(VALUE($B37),기본자료!$B$2:$B$301,0),""))))</f>
        <v/>
      </c>
      <c r="AC37" s="10">
        <f>IF($B37="","",IFERROR(MATCH($B37,인턴근무계획!$D$3:$D$62,0),IFERROR(MATCH($B37&amp;"",인턴근무계획!$D$3:$D$62,0),IFERROR(MATCH(VALUE($B37),인턴근무계획!$D$3:$D$62,0),""))))</f>
        <v/>
      </c>
      <c r="AD37" s="10">
        <f>IF(OR($AC37="",인턴현황!$G$3=""),"",INDEX(인턴근무계획!$M$3:$R$62,$AC37,인턴현황!$G$3)&amp;"")</f>
        <v/>
      </c>
      <c r="AE37" s="10">
        <f>IF($B37="","",IF($M37&lt;&gt;"",$M37,IF($AF37&lt;&gt;"",IF(LEFT(INDEX(파견수련계획!$R$4:$R$83,$AF37),1)&lt;&gt;"⚠",INDEX(파견수련계획!$R$4:$R$83,$AF37),IF($H37="","",IF(RIGHT($H37,2)="병원",$H37,$H37&amp;"병원"))),IF($H37="","",IF(RIGHT($H37,2)="병원",$H37,$H37&amp;"병원")))))</f>
        <v/>
      </c>
      <c r="AF37" s="10">
        <f>IF(OR($B37="",TRIM($J37&amp;"")=""),"",IFERROR(MATCH(TRIM($J37&amp;"")&amp;"|파견중",파견수련계획!$Y$4:$Y$83,0),IFERROR(MATCH(TRIM($J37&amp;"")&amp;"|파견예정",파견수련계획!$Y$4:$Y$83,0),IFERROR(MATCH(TRIM($J37&amp;"")&amp;"|파견종료",파견수련계획!$Y$4:$Y$83,0),""))))</f>
        <v/>
      </c>
      <c r="AG37" s="10">
        <f>IF($B37="","",IF(AND(IF(OR($AC37="",인턴현황!$K$2=""),"",INDEX(인턴근무계획!$M$3:$R$62,$AC37,인턴현황!$K$2)&amp;"")&lt;&gt;"",LEFT(IF(OR($AC37="",인턴현황!$K$2=""),"",INDEX(인턴근무계획!$M$3:$R$62,$AC37,인턴현황!$K$2)&amp;""),1)&lt;&gt;"⚠"),LEFT(IF(OR($AC37="",인턴현황!$K$2=""),"",INDEX(인턴근무계획!$M$3:$R$62,$AC37,인턴현황!$K$2)&amp;""),FIND(" ",IF(OR($AC37="",인턴현황!$K$2=""),"",INDEX(인턴근무계획!$M$3:$R$62,$AC37,인턴현황!$K$2)&amp;""))-1),$AE37))</f>
        <v/>
      </c>
      <c r="AH37" s="17">
        <f>IF($B37="","",IF(TRIM($J37&amp;"")="",0,SUMPRODUCT((파견수련계획!$Q$4:$Q$83=TRIM($J37&amp;""))*(파견수련계획!$S$4:$S$83="서울병원")*파견수련계획!$W$4:$W$83))+IF($AG37="서울병원",MAX(0,DAY(EOMONTH(요약!$B$3,0))-N($X37)),0))</f>
        <v/>
      </c>
      <c r="AI37" s="17">
        <f>IF($B37="","",IF(TRIM($J37&amp;"")="",0,SUMPRODUCT((파견수련계획!$Q$4:$Q$83=TRIM($J37&amp;""))*(파견수련계획!$S$4:$S$83="구리병원")*파견수련계획!$W$4:$W$83))+IF($AG37="구리병원",MAX(0,DAY(EOMONTH(요약!$B$3,0))-N($X37)),0))</f>
        <v/>
      </c>
      <c r="AJ37" s="10">
        <f>IF(OR($B37="",TRIM($J37&amp;"")=""),"",IFERROR(MATCH(TRIM($J37&amp;"")&amp;"|월",파견수련계획!$Z$4:$Z$83,0),""))</f>
        <v/>
      </c>
      <c r="AK37" s="10">
        <f>IF(OR($B37="",TRIM($J37&amp;"")=""),"",IFERROR(MATCH(TRIM($J37&amp;"")&amp;"|다기관",파견수련계획!$AE$4:$AE$83,0),""))</f>
        <v/>
      </c>
      <c r="AL37" s="10">
        <f>IF($AK37="","","다기관 "&amp;TEXT(INDEX(파견수련계획!$AB$4:$AB$83,$AK37),"yyyy-mm-dd")&amp;"~"&amp;IF(ISNUMBER(INDEX(파견수련계획!$AC$4:$AC$83,$AK37)),TEXT(INDEX(파견수련계획!$AC$4:$AC$83,$AK37),"yyyy-mm-dd"),""))</f>
        <v/>
      </c>
    </row>
    <row r="38">
      <c r="A38" s="10">
        <f>IF(B38="","",ROW()-1)</f>
        <v/>
      </c>
      <c r="B38" s="18" t="n"/>
      <c r="C38" s="10">
        <f>IF($AB38="","",IF(INDEX(기본자료!$C$2:$C$301,$AB38)="","",INDEX(기본자료!$C$2:$C$301,$AB38)))</f>
        <v/>
      </c>
      <c r="D38" s="10">
        <f>IF($AB38="","",IF(INDEX(기본자료!$J$2:$J$301,$AB38)="","",INDEX(기본자료!$J$2:$J$301,$AB38)))</f>
        <v/>
      </c>
      <c r="E38" s="11">
        <f>IF($AB38="","",IF(INDEX(기본자료!$K$2:$K$301,$AB38)="","",IF(NOT(ISNUMBER(INDEX(기본자료!$K$2:$K$301,$AB38))),INDEX(기본자료!$K$2:$K$301,$AB38),IF(INDEX(기본자료!$K$2:$K$301,$AB38)&lt;1000000,INDEX(기본자료!$K$2:$K$301,$AB38),IF(AND(INDEX(기본자료!$K$2:$K$301,$AB38)&gt;=10000101,INT(MOD(INDEX(기본자료!$K$2:$K$301,$AB38),10000)/100)&gt;=1,INT(MOD(INDEX(기본자료!$K$2:$K$301,$AB38),10000)/100)&lt;=12,MOD(INDEX(기본자료!$K$2:$K$301,$AB38),100)&gt;=1,MOD(INDEX(기본자료!$K$2:$K$301,$AB38),100)&lt;=31),DATE(INT(INDEX(기본자료!$K$2:$K$301,$AB38)/10000),INT(MOD(INDEX(기본자료!$K$2:$K$301,$AB38),10000)/100),MOD(INDEX(기본자료!$K$2:$K$301,$AB38),100)),INDEX(기본자료!$K$2:$K$301,$AB38)&amp;"")))))</f>
        <v/>
      </c>
      <c r="F38" s="10">
        <f>IF($AB38="","",IF(INDEX(기본자료!$D$2:$D$301,$AB38)="","",INDEX(기본자료!$D$2:$D$301,$AB38)))</f>
        <v/>
      </c>
      <c r="G38" s="10">
        <f>IF($AB38="","",IF(INDEX(기본자료!$E$2:$E$301,$AB38)="","",INDEX(기본자료!$E$2:$E$301,$AB38)))</f>
        <v/>
      </c>
      <c r="H38" s="10">
        <f>IF($AB38="","",IF(INDEX(기본자료!$F$2:$F$301,$AB38)="","",INDEX(기본자료!$F$2:$F$301,$AB38)))</f>
        <v/>
      </c>
      <c r="I38" s="11">
        <f>IF($AB38="","",IF(INDEX(기본자료!$G$2:$G$301,$AB38)="","",IF(NOT(ISNUMBER(INDEX(기본자료!$G$2:$G$301,$AB38))),INDEX(기본자료!$G$2:$G$301,$AB38),IF(INDEX(기본자료!$G$2:$G$301,$AB38)&lt;1000000,INDEX(기본자료!$G$2:$G$301,$AB38),IF(AND(INDEX(기본자료!$G$2:$G$301,$AB38)&gt;=10000101,INT(MOD(INDEX(기본자료!$G$2:$G$301,$AB38),10000)/100)&gt;=1,INT(MOD(INDEX(기본자료!$G$2:$G$301,$AB38),10000)/100)&lt;=12,MOD(INDEX(기본자료!$G$2:$G$301,$AB38),100)&gt;=1,MOD(INDEX(기본자료!$G$2:$G$301,$AB38),100)&lt;=31),DATE(INT(INDEX(기본자료!$G$2:$G$301,$AB38)/10000),INT(MOD(INDEX(기본자료!$G$2:$G$301,$AB38),10000)/100),MOD(INDEX(기본자료!$G$2:$G$301,$AB38),100)),INDEX(기본자료!$G$2:$G$301,$AB38)&amp;"")))))</f>
        <v/>
      </c>
      <c r="J38" s="10">
        <f>IF($AB38="","",IF(INDEX(기본자료!$H$2:$H$301,$AB38)="","",INDEX(기본자료!$H$2:$H$301,$AB38)))</f>
        <v/>
      </c>
      <c r="K38" s="10">
        <f>IF($AB38="","",IF(INDEX(기본자료!$I$2:$I$301,$AB38)="","",INDEX(기본자료!$I$2:$I$301,$AB38)))</f>
        <v/>
      </c>
      <c r="L38" s="10">
        <f>IF($AB38="","",IF(INDEX(기본자료!$A$2:$A$301,$AB38)="","",INDEX(기본자료!$A$2:$A$301,$AB38)))</f>
        <v/>
      </c>
      <c r="M38" s="15" t="n"/>
      <c r="N38" s="10">
        <f>IF($B38="","",IF(AND($U38="파견중",$Q38&lt;&gt;""),$Q38,IF(AND($AD38&lt;&gt;"",LEFT($AD38,1)&lt;&gt;"⚠"),LEFT($AD38,FIND(" ",$AD38)-1),IF($H38="","",IF(RIGHT($H38,2)="병원",$H38,$H38&amp;"병원")))))</f>
        <v/>
      </c>
      <c r="O38" s="10">
        <f>IF($B38="","",IF(AND($U38="파견중",$Q38&lt;&gt;""),IF($R38&lt;&gt;"",$R38,"파견과 미입력"),IF(AND($AD38&lt;&gt;"",LEFT($AD38,1)&lt;&gt;"⚠"),MID($AD38,FIND(" ",$AD38)+1,60),IF($F38="","",IF($F38="인턴","수련교육부(인턴)",$F38)))))</f>
        <v/>
      </c>
      <c r="P38" s="10">
        <f>IF($B38="","",IF($AK38&lt;&gt;"",IF(AND(TODAY()&gt;=INDEX(파견수련계획!$AB$4:$AB$83,$AK38),OR(NOT(ISNUMBER(INDEX(파견수련계획!$AC$4:$AC$83,$AK38))),TODAY()&lt;=INDEX(파견수련계획!$AC$4:$AC$83,$AK38))),"다기관",IF($AF38="","",INDEX(파견수련계획!$T$4:$T$83,$AF38))),IF($AF38="","",INDEX(파견수련계획!$T$4:$T$83,$AF38))))</f>
        <v/>
      </c>
      <c r="Q38" s="10">
        <f>IF($AF38="","",INDEX(파견수련계획!$S$4:$S$83,$AF38))</f>
        <v/>
      </c>
      <c r="R38" s="10">
        <f>IF($AF38="","",INDEX(파견수련계획!$U$4:$U$83,$AF38))</f>
        <v/>
      </c>
      <c r="S38" s="11">
        <f>IF($AF38="","",IF(INDEX(파견수련계획!$H$4:$H$83,$AF38)="","",INDEX(파견수련계획!$H$4:$H$83,$AF38)))</f>
        <v/>
      </c>
      <c r="T38" s="11">
        <f>IF($AF38="","",IF(INDEX(파견수련계획!$I$4:$I$83,$AF38)="","",INDEX(파견수련계획!$I$4:$I$83,$AF38)))</f>
        <v/>
      </c>
      <c r="U38" s="10">
        <f>IF($AF38="","",INDEX(파견수련계획!$X$4:$X$83,$AF38))</f>
        <v/>
      </c>
      <c r="V38" s="17">
        <f>IF($AF38="","",INDEX(파견수련계획!$V$4:$V$83,$AF38))</f>
        <v/>
      </c>
      <c r="W38" s="17">
        <f>IF(AND($U38="파견중",$T38&lt;&gt;""),$T38-TODAY(),"")</f>
        <v/>
      </c>
      <c r="X38" s="17">
        <f>IF(OR($B38="",TRIM($J38&amp;"")=""),"",SUMPRODUCT((파견수련계획!$Q$4:$Q$83=TRIM($J38&amp;""))*파견수련계획!$W$4:$W$83))</f>
        <v/>
      </c>
      <c r="Y38" s="10">
        <f>IF($B38="","",IF($AG38="","",IF(IF(TRIM($J38&amp;"")="",0,SUMPRODUCT((파견수련계획!$Q$4:$Q$83=TRIM($J38&amp;""))*파견수련계획!$AD$4:$AD$83))&gt;0,$AE38,IF(N($X38)&lt;=0,$AG38,IF($AH38+$AI38=DAY(EOMONTH(요약!$B$3,0)),IF(AND($AH38&gt;=요약!$E$3,$AI38&lt;요약!$E$3),"서울병원",IF(AND($AI38&gt;=요약!$E$3,$AH38&lt;요약!$E$3),"구리병원","⚠15일 판정불가(서울 "&amp;$AH38&amp;"일/구리 "&amp;$AI38&amp;"일)")),IF($AJ38="",$AE38,IF(INDEX(파견수련계획!$T$4:$T$83,$AJ38)="통합수련",INDEX(파견수련계획!$S$4:$S$83,$AJ38),$AE38)))))))</f>
        <v/>
      </c>
      <c r="Z38" s="19">
        <f>IF($B38="","",IF($AB38="","기본자료에 없는 사번",IF(COUNTIF($B$2:$B$61,$B38)&gt;1,"중복 사번",IF($AE38="","소속(입사장소) 입력",IF(IF(TRIM($J38&amp;"")="",0,SUMPRODUCT((파견수련계획!$Q$4:$Q$83=TRIM($J38&amp;""))*(파견수련계획!$AA$4:$AA$83&lt;&gt;"")))&gt;0,"파견수련계획 입력오류 확인",IF(LEFT($Y38,1)="⚠","서울·구리 15일 판정 불가(양쪽 모두 이상/미만)",IF(IF($AC38="",0,N(INDEX(인턴근무계획!$T$3:$T$62,$AC38)))&gt;0,"인턴계획 입력오류 확인",IF(AND($AC38&lt;&gt;"",$U38&lt;&gt;"파견중",$N38&lt;&gt;$AE38),"인턴 타지역 근무: 파견 여부 확인","정상"))))))))</f>
        <v/>
      </c>
      <c r="AA38" s="5" t="n"/>
      <c r="AB38" s="10">
        <f>IF($B38="","",IFERROR(MATCH($B38,기본자료!$B$2:$B$301,0),IFERROR(MATCH($B38&amp;"",기본자료!$B$2:$B$301,0),IFERROR(MATCH(VALUE($B38),기본자료!$B$2:$B$301,0),""))))</f>
        <v/>
      </c>
      <c r="AC38" s="10">
        <f>IF($B38="","",IFERROR(MATCH($B38,인턴근무계획!$D$3:$D$62,0),IFERROR(MATCH($B38&amp;"",인턴근무계획!$D$3:$D$62,0),IFERROR(MATCH(VALUE($B38),인턴근무계획!$D$3:$D$62,0),""))))</f>
        <v/>
      </c>
      <c r="AD38" s="10">
        <f>IF(OR($AC38="",인턴현황!$G$3=""),"",INDEX(인턴근무계획!$M$3:$R$62,$AC38,인턴현황!$G$3)&amp;"")</f>
        <v/>
      </c>
      <c r="AE38" s="10">
        <f>IF($B38="","",IF($M38&lt;&gt;"",$M38,IF($AF38&lt;&gt;"",IF(LEFT(INDEX(파견수련계획!$R$4:$R$83,$AF38),1)&lt;&gt;"⚠",INDEX(파견수련계획!$R$4:$R$83,$AF38),IF($H38="","",IF(RIGHT($H38,2)="병원",$H38,$H38&amp;"병원"))),IF($H38="","",IF(RIGHT($H38,2)="병원",$H38,$H38&amp;"병원")))))</f>
        <v/>
      </c>
      <c r="AF38" s="10">
        <f>IF(OR($B38="",TRIM($J38&amp;"")=""),"",IFERROR(MATCH(TRIM($J38&amp;"")&amp;"|파견중",파견수련계획!$Y$4:$Y$83,0),IFERROR(MATCH(TRIM($J38&amp;"")&amp;"|파견예정",파견수련계획!$Y$4:$Y$83,0),IFERROR(MATCH(TRIM($J38&amp;"")&amp;"|파견종료",파견수련계획!$Y$4:$Y$83,0),""))))</f>
        <v/>
      </c>
      <c r="AG38" s="10">
        <f>IF($B38="","",IF(AND(IF(OR($AC38="",인턴현황!$K$2=""),"",INDEX(인턴근무계획!$M$3:$R$62,$AC38,인턴현황!$K$2)&amp;"")&lt;&gt;"",LEFT(IF(OR($AC38="",인턴현황!$K$2=""),"",INDEX(인턴근무계획!$M$3:$R$62,$AC38,인턴현황!$K$2)&amp;""),1)&lt;&gt;"⚠"),LEFT(IF(OR($AC38="",인턴현황!$K$2=""),"",INDEX(인턴근무계획!$M$3:$R$62,$AC38,인턴현황!$K$2)&amp;""),FIND(" ",IF(OR($AC38="",인턴현황!$K$2=""),"",INDEX(인턴근무계획!$M$3:$R$62,$AC38,인턴현황!$K$2)&amp;""))-1),$AE38))</f>
        <v/>
      </c>
      <c r="AH38" s="17">
        <f>IF($B38="","",IF(TRIM($J38&amp;"")="",0,SUMPRODUCT((파견수련계획!$Q$4:$Q$83=TRIM($J38&amp;""))*(파견수련계획!$S$4:$S$83="서울병원")*파견수련계획!$W$4:$W$83))+IF($AG38="서울병원",MAX(0,DAY(EOMONTH(요약!$B$3,0))-N($X38)),0))</f>
        <v/>
      </c>
      <c r="AI38" s="17">
        <f>IF($B38="","",IF(TRIM($J38&amp;"")="",0,SUMPRODUCT((파견수련계획!$Q$4:$Q$83=TRIM($J38&amp;""))*(파견수련계획!$S$4:$S$83="구리병원")*파견수련계획!$W$4:$W$83))+IF($AG38="구리병원",MAX(0,DAY(EOMONTH(요약!$B$3,0))-N($X38)),0))</f>
        <v/>
      </c>
      <c r="AJ38" s="10">
        <f>IF(OR($B38="",TRIM($J38&amp;"")=""),"",IFERROR(MATCH(TRIM($J38&amp;"")&amp;"|월",파견수련계획!$Z$4:$Z$83,0),""))</f>
        <v/>
      </c>
      <c r="AK38" s="10">
        <f>IF(OR($B38="",TRIM($J38&amp;"")=""),"",IFERROR(MATCH(TRIM($J38&amp;"")&amp;"|다기관",파견수련계획!$AE$4:$AE$83,0),""))</f>
        <v/>
      </c>
      <c r="AL38" s="10">
        <f>IF($AK38="","","다기관 "&amp;TEXT(INDEX(파견수련계획!$AB$4:$AB$83,$AK38),"yyyy-mm-dd")&amp;"~"&amp;IF(ISNUMBER(INDEX(파견수련계획!$AC$4:$AC$83,$AK38)),TEXT(INDEX(파견수련계획!$AC$4:$AC$83,$AK38),"yyyy-mm-dd"),""))</f>
        <v/>
      </c>
    </row>
    <row r="39">
      <c r="A39" s="10">
        <f>IF(B39="","",ROW()-1)</f>
        <v/>
      </c>
      <c r="B39" s="18" t="n"/>
      <c r="C39" s="10">
        <f>IF($AB39="","",IF(INDEX(기본자료!$C$2:$C$301,$AB39)="","",INDEX(기본자료!$C$2:$C$301,$AB39)))</f>
        <v/>
      </c>
      <c r="D39" s="10">
        <f>IF($AB39="","",IF(INDEX(기본자료!$J$2:$J$301,$AB39)="","",INDEX(기본자료!$J$2:$J$301,$AB39)))</f>
        <v/>
      </c>
      <c r="E39" s="11">
        <f>IF($AB39="","",IF(INDEX(기본자료!$K$2:$K$301,$AB39)="","",IF(NOT(ISNUMBER(INDEX(기본자료!$K$2:$K$301,$AB39))),INDEX(기본자료!$K$2:$K$301,$AB39),IF(INDEX(기본자료!$K$2:$K$301,$AB39)&lt;1000000,INDEX(기본자료!$K$2:$K$301,$AB39),IF(AND(INDEX(기본자료!$K$2:$K$301,$AB39)&gt;=10000101,INT(MOD(INDEX(기본자료!$K$2:$K$301,$AB39),10000)/100)&gt;=1,INT(MOD(INDEX(기본자료!$K$2:$K$301,$AB39),10000)/100)&lt;=12,MOD(INDEX(기본자료!$K$2:$K$301,$AB39),100)&gt;=1,MOD(INDEX(기본자료!$K$2:$K$301,$AB39),100)&lt;=31),DATE(INT(INDEX(기본자료!$K$2:$K$301,$AB39)/10000),INT(MOD(INDEX(기본자료!$K$2:$K$301,$AB39),10000)/100),MOD(INDEX(기본자료!$K$2:$K$301,$AB39),100)),INDEX(기본자료!$K$2:$K$301,$AB39)&amp;"")))))</f>
        <v/>
      </c>
      <c r="F39" s="10">
        <f>IF($AB39="","",IF(INDEX(기본자료!$D$2:$D$301,$AB39)="","",INDEX(기본자료!$D$2:$D$301,$AB39)))</f>
        <v/>
      </c>
      <c r="G39" s="10">
        <f>IF($AB39="","",IF(INDEX(기본자료!$E$2:$E$301,$AB39)="","",INDEX(기본자료!$E$2:$E$301,$AB39)))</f>
        <v/>
      </c>
      <c r="H39" s="10">
        <f>IF($AB39="","",IF(INDEX(기본자료!$F$2:$F$301,$AB39)="","",INDEX(기본자료!$F$2:$F$301,$AB39)))</f>
        <v/>
      </c>
      <c r="I39" s="11">
        <f>IF($AB39="","",IF(INDEX(기본자료!$G$2:$G$301,$AB39)="","",IF(NOT(ISNUMBER(INDEX(기본자료!$G$2:$G$301,$AB39))),INDEX(기본자료!$G$2:$G$301,$AB39),IF(INDEX(기본자료!$G$2:$G$301,$AB39)&lt;1000000,INDEX(기본자료!$G$2:$G$301,$AB39),IF(AND(INDEX(기본자료!$G$2:$G$301,$AB39)&gt;=10000101,INT(MOD(INDEX(기본자료!$G$2:$G$301,$AB39),10000)/100)&gt;=1,INT(MOD(INDEX(기본자료!$G$2:$G$301,$AB39),10000)/100)&lt;=12,MOD(INDEX(기본자료!$G$2:$G$301,$AB39),100)&gt;=1,MOD(INDEX(기본자료!$G$2:$G$301,$AB39),100)&lt;=31),DATE(INT(INDEX(기본자료!$G$2:$G$301,$AB39)/10000),INT(MOD(INDEX(기본자료!$G$2:$G$301,$AB39),10000)/100),MOD(INDEX(기본자료!$G$2:$G$301,$AB39),100)),INDEX(기본자료!$G$2:$G$301,$AB39)&amp;"")))))</f>
        <v/>
      </c>
      <c r="J39" s="10">
        <f>IF($AB39="","",IF(INDEX(기본자료!$H$2:$H$301,$AB39)="","",INDEX(기본자료!$H$2:$H$301,$AB39)))</f>
        <v/>
      </c>
      <c r="K39" s="10">
        <f>IF($AB39="","",IF(INDEX(기본자료!$I$2:$I$301,$AB39)="","",INDEX(기본자료!$I$2:$I$301,$AB39)))</f>
        <v/>
      </c>
      <c r="L39" s="10">
        <f>IF($AB39="","",IF(INDEX(기본자료!$A$2:$A$301,$AB39)="","",INDEX(기본자료!$A$2:$A$301,$AB39)))</f>
        <v/>
      </c>
      <c r="M39" s="15" t="n"/>
      <c r="N39" s="10">
        <f>IF($B39="","",IF(AND($U39="파견중",$Q39&lt;&gt;""),$Q39,IF(AND($AD39&lt;&gt;"",LEFT($AD39,1)&lt;&gt;"⚠"),LEFT($AD39,FIND(" ",$AD39)-1),IF($H39="","",IF(RIGHT($H39,2)="병원",$H39,$H39&amp;"병원")))))</f>
        <v/>
      </c>
      <c r="O39" s="10">
        <f>IF($B39="","",IF(AND($U39="파견중",$Q39&lt;&gt;""),IF($R39&lt;&gt;"",$R39,"파견과 미입력"),IF(AND($AD39&lt;&gt;"",LEFT($AD39,1)&lt;&gt;"⚠"),MID($AD39,FIND(" ",$AD39)+1,60),IF($F39="","",IF($F39="인턴","수련교육부(인턴)",$F39)))))</f>
        <v/>
      </c>
      <c r="P39" s="10">
        <f>IF($B39="","",IF($AK39&lt;&gt;"",IF(AND(TODAY()&gt;=INDEX(파견수련계획!$AB$4:$AB$83,$AK39),OR(NOT(ISNUMBER(INDEX(파견수련계획!$AC$4:$AC$83,$AK39))),TODAY()&lt;=INDEX(파견수련계획!$AC$4:$AC$83,$AK39))),"다기관",IF($AF39="","",INDEX(파견수련계획!$T$4:$T$83,$AF39))),IF($AF39="","",INDEX(파견수련계획!$T$4:$T$83,$AF39))))</f>
        <v/>
      </c>
      <c r="Q39" s="10">
        <f>IF($AF39="","",INDEX(파견수련계획!$S$4:$S$83,$AF39))</f>
        <v/>
      </c>
      <c r="R39" s="10">
        <f>IF($AF39="","",INDEX(파견수련계획!$U$4:$U$83,$AF39))</f>
        <v/>
      </c>
      <c r="S39" s="11">
        <f>IF($AF39="","",IF(INDEX(파견수련계획!$H$4:$H$83,$AF39)="","",INDEX(파견수련계획!$H$4:$H$83,$AF39)))</f>
        <v/>
      </c>
      <c r="T39" s="11">
        <f>IF($AF39="","",IF(INDEX(파견수련계획!$I$4:$I$83,$AF39)="","",INDEX(파견수련계획!$I$4:$I$83,$AF39)))</f>
        <v/>
      </c>
      <c r="U39" s="10">
        <f>IF($AF39="","",INDEX(파견수련계획!$X$4:$X$83,$AF39))</f>
        <v/>
      </c>
      <c r="V39" s="17">
        <f>IF($AF39="","",INDEX(파견수련계획!$V$4:$V$83,$AF39))</f>
        <v/>
      </c>
      <c r="W39" s="17">
        <f>IF(AND($U39="파견중",$T39&lt;&gt;""),$T39-TODAY(),"")</f>
        <v/>
      </c>
      <c r="X39" s="17">
        <f>IF(OR($B39="",TRIM($J39&amp;"")=""),"",SUMPRODUCT((파견수련계획!$Q$4:$Q$83=TRIM($J39&amp;""))*파견수련계획!$W$4:$W$83))</f>
        <v/>
      </c>
      <c r="Y39" s="10">
        <f>IF($B39="","",IF($AG39="","",IF(IF(TRIM($J39&amp;"")="",0,SUMPRODUCT((파견수련계획!$Q$4:$Q$83=TRIM($J39&amp;""))*파견수련계획!$AD$4:$AD$83))&gt;0,$AE39,IF(N($X39)&lt;=0,$AG39,IF($AH39+$AI39=DAY(EOMONTH(요약!$B$3,0)),IF(AND($AH39&gt;=요약!$E$3,$AI39&lt;요약!$E$3),"서울병원",IF(AND($AI39&gt;=요약!$E$3,$AH39&lt;요약!$E$3),"구리병원","⚠15일 판정불가(서울 "&amp;$AH39&amp;"일/구리 "&amp;$AI39&amp;"일)")),IF($AJ39="",$AE39,IF(INDEX(파견수련계획!$T$4:$T$83,$AJ39)="통합수련",INDEX(파견수련계획!$S$4:$S$83,$AJ39),$AE39)))))))</f>
        <v/>
      </c>
      <c r="Z39" s="19">
        <f>IF($B39="","",IF($AB39="","기본자료에 없는 사번",IF(COUNTIF($B$2:$B$61,$B39)&gt;1,"중복 사번",IF($AE39="","소속(입사장소) 입력",IF(IF(TRIM($J39&amp;"")="",0,SUMPRODUCT((파견수련계획!$Q$4:$Q$83=TRIM($J39&amp;""))*(파견수련계획!$AA$4:$AA$83&lt;&gt;"")))&gt;0,"파견수련계획 입력오류 확인",IF(LEFT($Y39,1)="⚠","서울·구리 15일 판정 불가(양쪽 모두 이상/미만)",IF(IF($AC39="",0,N(INDEX(인턴근무계획!$T$3:$T$62,$AC39)))&gt;0,"인턴계획 입력오류 확인",IF(AND($AC39&lt;&gt;"",$U39&lt;&gt;"파견중",$N39&lt;&gt;$AE39),"인턴 타지역 근무: 파견 여부 확인","정상"))))))))</f>
        <v/>
      </c>
      <c r="AA39" s="5" t="n"/>
      <c r="AB39" s="10">
        <f>IF($B39="","",IFERROR(MATCH($B39,기본자료!$B$2:$B$301,0),IFERROR(MATCH($B39&amp;"",기본자료!$B$2:$B$301,0),IFERROR(MATCH(VALUE($B39),기본자료!$B$2:$B$301,0),""))))</f>
        <v/>
      </c>
      <c r="AC39" s="10">
        <f>IF($B39="","",IFERROR(MATCH($B39,인턴근무계획!$D$3:$D$62,0),IFERROR(MATCH($B39&amp;"",인턴근무계획!$D$3:$D$62,0),IFERROR(MATCH(VALUE($B39),인턴근무계획!$D$3:$D$62,0),""))))</f>
        <v/>
      </c>
      <c r="AD39" s="10">
        <f>IF(OR($AC39="",인턴현황!$G$3=""),"",INDEX(인턴근무계획!$M$3:$R$62,$AC39,인턴현황!$G$3)&amp;"")</f>
        <v/>
      </c>
      <c r="AE39" s="10">
        <f>IF($B39="","",IF($M39&lt;&gt;"",$M39,IF($AF39&lt;&gt;"",IF(LEFT(INDEX(파견수련계획!$R$4:$R$83,$AF39),1)&lt;&gt;"⚠",INDEX(파견수련계획!$R$4:$R$83,$AF39),IF($H39="","",IF(RIGHT($H39,2)="병원",$H39,$H39&amp;"병원"))),IF($H39="","",IF(RIGHT($H39,2)="병원",$H39,$H39&amp;"병원")))))</f>
        <v/>
      </c>
      <c r="AF39" s="10">
        <f>IF(OR($B39="",TRIM($J39&amp;"")=""),"",IFERROR(MATCH(TRIM($J39&amp;"")&amp;"|파견중",파견수련계획!$Y$4:$Y$83,0),IFERROR(MATCH(TRIM($J39&amp;"")&amp;"|파견예정",파견수련계획!$Y$4:$Y$83,0),IFERROR(MATCH(TRIM($J39&amp;"")&amp;"|파견종료",파견수련계획!$Y$4:$Y$83,0),""))))</f>
        <v/>
      </c>
      <c r="AG39" s="10">
        <f>IF($B39="","",IF(AND(IF(OR($AC39="",인턴현황!$K$2=""),"",INDEX(인턴근무계획!$M$3:$R$62,$AC39,인턴현황!$K$2)&amp;"")&lt;&gt;"",LEFT(IF(OR($AC39="",인턴현황!$K$2=""),"",INDEX(인턴근무계획!$M$3:$R$62,$AC39,인턴현황!$K$2)&amp;""),1)&lt;&gt;"⚠"),LEFT(IF(OR($AC39="",인턴현황!$K$2=""),"",INDEX(인턴근무계획!$M$3:$R$62,$AC39,인턴현황!$K$2)&amp;""),FIND(" ",IF(OR($AC39="",인턴현황!$K$2=""),"",INDEX(인턴근무계획!$M$3:$R$62,$AC39,인턴현황!$K$2)&amp;""))-1),$AE39))</f>
        <v/>
      </c>
      <c r="AH39" s="17">
        <f>IF($B39="","",IF(TRIM($J39&amp;"")="",0,SUMPRODUCT((파견수련계획!$Q$4:$Q$83=TRIM($J39&amp;""))*(파견수련계획!$S$4:$S$83="서울병원")*파견수련계획!$W$4:$W$83))+IF($AG39="서울병원",MAX(0,DAY(EOMONTH(요약!$B$3,0))-N($X39)),0))</f>
        <v/>
      </c>
      <c r="AI39" s="17">
        <f>IF($B39="","",IF(TRIM($J39&amp;"")="",0,SUMPRODUCT((파견수련계획!$Q$4:$Q$83=TRIM($J39&amp;""))*(파견수련계획!$S$4:$S$83="구리병원")*파견수련계획!$W$4:$W$83))+IF($AG39="구리병원",MAX(0,DAY(EOMONTH(요약!$B$3,0))-N($X39)),0))</f>
        <v/>
      </c>
      <c r="AJ39" s="10">
        <f>IF(OR($B39="",TRIM($J39&amp;"")=""),"",IFERROR(MATCH(TRIM($J39&amp;"")&amp;"|월",파견수련계획!$Z$4:$Z$83,0),""))</f>
        <v/>
      </c>
      <c r="AK39" s="10">
        <f>IF(OR($B39="",TRIM($J39&amp;"")=""),"",IFERROR(MATCH(TRIM($J39&amp;"")&amp;"|다기관",파견수련계획!$AE$4:$AE$83,0),""))</f>
        <v/>
      </c>
      <c r="AL39" s="10">
        <f>IF($AK39="","","다기관 "&amp;TEXT(INDEX(파견수련계획!$AB$4:$AB$83,$AK39),"yyyy-mm-dd")&amp;"~"&amp;IF(ISNUMBER(INDEX(파견수련계획!$AC$4:$AC$83,$AK39)),TEXT(INDEX(파견수련계획!$AC$4:$AC$83,$AK39),"yyyy-mm-dd"),""))</f>
        <v/>
      </c>
    </row>
    <row r="40">
      <c r="A40" s="10">
        <f>IF(B40="","",ROW()-1)</f>
        <v/>
      </c>
      <c r="B40" s="18" t="n"/>
      <c r="C40" s="10">
        <f>IF($AB40="","",IF(INDEX(기본자료!$C$2:$C$301,$AB40)="","",INDEX(기본자료!$C$2:$C$301,$AB40)))</f>
        <v/>
      </c>
      <c r="D40" s="10">
        <f>IF($AB40="","",IF(INDEX(기본자료!$J$2:$J$301,$AB40)="","",INDEX(기본자료!$J$2:$J$301,$AB40)))</f>
        <v/>
      </c>
      <c r="E40" s="11">
        <f>IF($AB40="","",IF(INDEX(기본자료!$K$2:$K$301,$AB40)="","",IF(NOT(ISNUMBER(INDEX(기본자료!$K$2:$K$301,$AB40))),INDEX(기본자료!$K$2:$K$301,$AB40),IF(INDEX(기본자료!$K$2:$K$301,$AB40)&lt;1000000,INDEX(기본자료!$K$2:$K$301,$AB40),IF(AND(INDEX(기본자료!$K$2:$K$301,$AB40)&gt;=10000101,INT(MOD(INDEX(기본자료!$K$2:$K$301,$AB40),10000)/100)&gt;=1,INT(MOD(INDEX(기본자료!$K$2:$K$301,$AB40),10000)/100)&lt;=12,MOD(INDEX(기본자료!$K$2:$K$301,$AB40),100)&gt;=1,MOD(INDEX(기본자료!$K$2:$K$301,$AB40),100)&lt;=31),DATE(INT(INDEX(기본자료!$K$2:$K$301,$AB40)/10000),INT(MOD(INDEX(기본자료!$K$2:$K$301,$AB40),10000)/100),MOD(INDEX(기본자료!$K$2:$K$301,$AB40),100)),INDEX(기본자료!$K$2:$K$301,$AB40)&amp;"")))))</f>
        <v/>
      </c>
      <c r="F40" s="10">
        <f>IF($AB40="","",IF(INDEX(기본자료!$D$2:$D$301,$AB40)="","",INDEX(기본자료!$D$2:$D$301,$AB40)))</f>
        <v/>
      </c>
      <c r="G40" s="10">
        <f>IF($AB40="","",IF(INDEX(기본자료!$E$2:$E$301,$AB40)="","",INDEX(기본자료!$E$2:$E$301,$AB40)))</f>
        <v/>
      </c>
      <c r="H40" s="10">
        <f>IF($AB40="","",IF(INDEX(기본자료!$F$2:$F$301,$AB40)="","",INDEX(기본자료!$F$2:$F$301,$AB40)))</f>
        <v/>
      </c>
      <c r="I40" s="11">
        <f>IF($AB40="","",IF(INDEX(기본자료!$G$2:$G$301,$AB40)="","",IF(NOT(ISNUMBER(INDEX(기본자료!$G$2:$G$301,$AB40))),INDEX(기본자료!$G$2:$G$301,$AB40),IF(INDEX(기본자료!$G$2:$G$301,$AB40)&lt;1000000,INDEX(기본자료!$G$2:$G$301,$AB40),IF(AND(INDEX(기본자료!$G$2:$G$301,$AB40)&gt;=10000101,INT(MOD(INDEX(기본자료!$G$2:$G$301,$AB40),10000)/100)&gt;=1,INT(MOD(INDEX(기본자료!$G$2:$G$301,$AB40),10000)/100)&lt;=12,MOD(INDEX(기본자료!$G$2:$G$301,$AB40),100)&gt;=1,MOD(INDEX(기본자료!$G$2:$G$301,$AB40),100)&lt;=31),DATE(INT(INDEX(기본자료!$G$2:$G$301,$AB40)/10000),INT(MOD(INDEX(기본자료!$G$2:$G$301,$AB40),10000)/100),MOD(INDEX(기본자료!$G$2:$G$301,$AB40),100)),INDEX(기본자료!$G$2:$G$301,$AB40)&amp;"")))))</f>
        <v/>
      </c>
      <c r="J40" s="10">
        <f>IF($AB40="","",IF(INDEX(기본자료!$H$2:$H$301,$AB40)="","",INDEX(기본자료!$H$2:$H$301,$AB40)))</f>
        <v/>
      </c>
      <c r="K40" s="10">
        <f>IF($AB40="","",IF(INDEX(기본자료!$I$2:$I$301,$AB40)="","",INDEX(기본자료!$I$2:$I$301,$AB40)))</f>
        <v/>
      </c>
      <c r="L40" s="10">
        <f>IF($AB40="","",IF(INDEX(기본자료!$A$2:$A$301,$AB40)="","",INDEX(기본자료!$A$2:$A$301,$AB40)))</f>
        <v/>
      </c>
      <c r="M40" s="15" t="n"/>
      <c r="N40" s="10">
        <f>IF($B40="","",IF(AND($U40="파견중",$Q40&lt;&gt;""),$Q40,IF(AND($AD40&lt;&gt;"",LEFT($AD40,1)&lt;&gt;"⚠"),LEFT($AD40,FIND(" ",$AD40)-1),IF($H40="","",IF(RIGHT($H40,2)="병원",$H40,$H40&amp;"병원")))))</f>
        <v/>
      </c>
      <c r="O40" s="10">
        <f>IF($B40="","",IF(AND($U40="파견중",$Q40&lt;&gt;""),IF($R40&lt;&gt;"",$R40,"파견과 미입력"),IF(AND($AD40&lt;&gt;"",LEFT($AD40,1)&lt;&gt;"⚠"),MID($AD40,FIND(" ",$AD40)+1,60),IF($F40="","",IF($F40="인턴","수련교육부(인턴)",$F40)))))</f>
        <v/>
      </c>
      <c r="P40" s="10">
        <f>IF($B40="","",IF($AK40&lt;&gt;"",IF(AND(TODAY()&gt;=INDEX(파견수련계획!$AB$4:$AB$83,$AK40),OR(NOT(ISNUMBER(INDEX(파견수련계획!$AC$4:$AC$83,$AK40))),TODAY()&lt;=INDEX(파견수련계획!$AC$4:$AC$83,$AK40))),"다기관",IF($AF40="","",INDEX(파견수련계획!$T$4:$T$83,$AF40))),IF($AF40="","",INDEX(파견수련계획!$T$4:$T$83,$AF40))))</f>
        <v/>
      </c>
      <c r="Q40" s="10">
        <f>IF($AF40="","",INDEX(파견수련계획!$S$4:$S$83,$AF40))</f>
        <v/>
      </c>
      <c r="R40" s="10">
        <f>IF($AF40="","",INDEX(파견수련계획!$U$4:$U$83,$AF40))</f>
        <v/>
      </c>
      <c r="S40" s="11">
        <f>IF($AF40="","",IF(INDEX(파견수련계획!$H$4:$H$83,$AF40)="","",INDEX(파견수련계획!$H$4:$H$83,$AF40)))</f>
        <v/>
      </c>
      <c r="T40" s="11">
        <f>IF($AF40="","",IF(INDEX(파견수련계획!$I$4:$I$83,$AF40)="","",INDEX(파견수련계획!$I$4:$I$83,$AF40)))</f>
        <v/>
      </c>
      <c r="U40" s="10">
        <f>IF($AF40="","",INDEX(파견수련계획!$X$4:$X$83,$AF40))</f>
        <v/>
      </c>
      <c r="V40" s="17">
        <f>IF($AF40="","",INDEX(파견수련계획!$V$4:$V$83,$AF40))</f>
        <v/>
      </c>
      <c r="W40" s="17">
        <f>IF(AND($U40="파견중",$T40&lt;&gt;""),$T40-TODAY(),"")</f>
        <v/>
      </c>
      <c r="X40" s="17">
        <f>IF(OR($B40="",TRIM($J40&amp;"")=""),"",SUMPRODUCT((파견수련계획!$Q$4:$Q$83=TRIM($J40&amp;""))*파견수련계획!$W$4:$W$83))</f>
        <v/>
      </c>
      <c r="Y40" s="10">
        <f>IF($B40="","",IF($AG40="","",IF(IF(TRIM($J40&amp;"")="",0,SUMPRODUCT((파견수련계획!$Q$4:$Q$83=TRIM($J40&amp;""))*파견수련계획!$AD$4:$AD$83))&gt;0,$AE40,IF(N($X40)&lt;=0,$AG40,IF($AH40+$AI40=DAY(EOMONTH(요약!$B$3,0)),IF(AND($AH40&gt;=요약!$E$3,$AI40&lt;요약!$E$3),"서울병원",IF(AND($AI40&gt;=요약!$E$3,$AH40&lt;요약!$E$3),"구리병원","⚠15일 판정불가(서울 "&amp;$AH40&amp;"일/구리 "&amp;$AI40&amp;"일)")),IF($AJ40="",$AE40,IF(INDEX(파견수련계획!$T$4:$T$83,$AJ40)="통합수련",INDEX(파견수련계획!$S$4:$S$83,$AJ40),$AE40)))))))</f>
        <v/>
      </c>
      <c r="Z40" s="19">
        <f>IF($B40="","",IF($AB40="","기본자료에 없는 사번",IF(COUNTIF($B$2:$B$61,$B40)&gt;1,"중복 사번",IF($AE40="","소속(입사장소) 입력",IF(IF(TRIM($J40&amp;"")="",0,SUMPRODUCT((파견수련계획!$Q$4:$Q$83=TRIM($J40&amp;""))*(파견수련계획!$AA$4:$AA$83&lt;&gt;"")))&gt;0,"파견수련계획 입력오류 확인",IF(LEFT($Y40,1)="⚠","서울·구리 15일 판정 불가(양쪽 모두 이상/미만)",IF(IF($AC40="",0,N(INDEX(인턴근무계획!$T$3:$T$62,$AC40)))&gt;0,"인턴계획 입력오류 확인",IF(AND($AC40&lt;&gt;"",$U40&lt;&gt;"파견중",$N40&lt;&gt;$AE40),"인턴 타지역 근무: 파견 여부 확인","정상"))))))))</f>
        <v/>
      </c>
      <c r="AA40" s="5" t="n"/>
      <c r="AB40" s="10">
        <f>IF($B40="","",IFERROR(MATCH($B40,기본자료!$B$2:$B$301,0),IFERROR(MATCH($B40&amp;"",기본자료!$B$2:$B$301,0),IFERROR(MATCH(VALUE($B40),기본자료!$B$2:$B$301,0),""))))</f>
        <v/>
      </c>
      <c r="AC40" s="10">
        <f>IF($B40="","",IFERROR(MATCH($B40,인턴근무계획!$D$3:$D$62,0),IFERROR(MATCH($B40&amp;"",인턴근무계획!$D$3:$D$62,0),IFERROR(MATCH(VALUE($B40),인턴근무계획!$D$3:$D$62,0),""))))</f>
        <v/>
      </c>
      <c r="AD40" s="10">
        <f>IF(OR($AC40="",인턴현황!$G$3=""),"",INDEX(인턴근무계획!$M$3:$R$62,$AC40,인턴현황!$G$3)&amp;"")</f>
        <v/>
      </c>
      <c r="AE40" s="10">
        <f>IF($B40="","",IF($M40&lt;&gt;"",$M40,IF($AF40&lt;&gt;"",IF(LEFT(INDEX(파견수련계획!$R$4:$R$83,$AF40),1)&lt;&gt;"⚠",INDEX(파견수련계획!$R$4:$R$83,$AF40),IF($H40="","",IF(RIGHT($H40,2)="병원",$H40,$H40&amp;"병원"))),IF($H40="","",IF(RIGHT($H40,2)="병원",$H40,$H40&amp;"병원")))))</f>
        <v/>
      </c>
      <c r="AF40" s="10">
        <f>IF(OR($B40="",TRIM($J40&amp;"")=""),"",IFERROR(MATCH(TRIM($J40&amp;"")&amp;"|파견중",파견수련계획!$Y$4:$Y$83,0),IFERROR(MATCH(TRIM($J40&amp;"")&amp;"|파견예정",파견수련계획!$Y$4:$Y$83,0),IFERROR(MATCH(TRIM($J40&amp;"")&amp;"|파견종료",파견수련계획!$Y$4:$Y$83,0),""))))</f>
        <v/>
      </c>
      <c r="AG40" s="10">
        <f>IF($B40="","",IF(AND(IF(OR($AC40="",인턴현황!$K$2=""),"",INDEX(인턴근무계획!$M$3:$R$62,$AC40,인턴현황!$K$2)&amp;"")&lt;&gt;"",LEFT(IF(OR($AC40="",인턴현황!$K$2=""),"",INDEX(인턴근무계획!$M$3:$R$62,$AC40,인턴현황!$K$2)&amp;""),1)&lt;&gt;"⚠"),LEFT(IF(OR($AC40="",인턴현황!$K$2=""),"",INDEX(인턴근무계획!$M$3:$R$62,$AC40,인턴현황!$K$2)&amp;""),FIND(" ",IF(OR($AC40="",인턴현황!$K$2=""),"",INDEX(인턴근무계획!$M$3:$R$62,$AC40,인턴현황!$K$2)&amp;""))-1),$AE40))</f>
        <v/>
      </c>
      <c r="AH40" s="17">
        <f>IF($B40="","",IF(TRIM($J40&amp;"")="",0,SUMPRODUCT((파견수련계획!$Q$4:$Q$83=TRIM($J40&amp;""))*(파견수련계획!$S$4:$S$83="서울병원")*파견수련계획!$W$4:$W$83))+IF($AG40="서울병원",MAX(0,DAY(EOMONTH(요약!$B$3,0))-N($X40)),0))</f>
        <v/>
      </c>
      <c r="AI40" s="17">
        <f>IF($B40="","",IF(TRIM($J40&amp;"")="",0,SUMPRODUCT((파견수련계획!$Q$4:$Q$83=TRIM($J40&amp;""))*(파견수련계획!$S$4:$S$83="구리병원")*파견수련계획!$W$4:$W$83))+IF($AG40="구리병원",MAX(0,DAY(EOMONTH(요약!$B$3,0))-N($X40)),0))</f>
        <v/>
      </c>
      <c r="AJ40" s="10">
        <f>IF(OR($B40="",TRIM($J40&amp;"")=""),"",IFERROR(MATCH(TRIM($J40&amp;"")&amp;"|월",파견수련계획!$Z$4:$Z$83,0),""))</f>
        <v/>
      </c>
      <c r="AK40" s="10">
        <f>IF(OR($B40="",TRIM($J40&amp;"")=""),"",IFERROR(MATCH(TRIM($J40&amp;"")&amp;"|다기관",파견수련계획!$AE$4:$AE$83,0),""))</f>
        <v/>
      </c>
      <c r="AL40" s="10">
        <f>IF($AK40="","","다기관 "&amp;TEXT(INDEX(파견수련계획!$AB$4:$AB$83,$AK40),"yyyy-mm-dd")&amp;"~"&amp;IF(ISNUMBER(INDEX(파견수련계획!$AC$4:$AC$83,$AK40)),TEXT(INDEX(파견수련계획!$AC$4:$AC$83,$AK40),"yyyy-mm-dd"),""))</f>
        <v/>
      </c>
    </row>
    <row r="41">
      <c r="A41" s="10">
        <f>IF(B41="","",ROW()-1)</f>
        <v/>
      </c>
      <c r="B41" s="18" t="n"/>
      <c r="C41" s="10">
        <f>IF($AB41="","",IF(INDEX(기본자료!$C$2:$C$301,$AB41)="","",INDEX(기본자료!$C$2:$C$301,$AB41)))</f>
        <v/>
      </c>
      <c r="D41" s="10">
        <f>IF($AB41="","",IF(INDEX(기본자료!$J$2:$J$301,$AB41)="","",INDEX(기본자료!$J$2:$J$301,$AB41)))</f>
        <v/>
      </c>
      <c r="E41" s="11">
        <f>IF($AB41="","",IF(INDEX(기본자료!$K$2:$K$301,$AB41)="","",IF(NOT(ISNUMBER(INDEX(기본자료!$K$2:$K$301,$AB41))),INDEX(기본자료!$K$2:$K$301,$AB41),IF(INDEX(기본자료!$K$2:$K$301,$AB41)&lt;1000000,INDEX(기본자료!$K$2:$K$301,$AB41),IF(AND(INDEX(기본자료!$K$2:$K$301,$AB41)&gt;=10000101,INT(MOD(INDEX(기본자료!$K$2:$K$301,$AB41),10000)/100)&gt;=1,INT(MOD(INDEX(기본자료!$K$2:$K$301,$AB41),10000)/100)&lt;=12,MOD(INDEX(기본자료!$K$2:$K$301,$AB41),100)&gt;=1,MOD(INDEX(기본자료!$K$2:$K$301,$AB41),100)&lt;=31),DATE(INT(INDEX(기본자료!$K$2:$K$301,$AB41)/10000),INT(MOD(INDEX(기본자료!$K$2:$K$301,$AB41),10000)/100),MOD(INDEX(기본자료!$K$2:$K$301,$AB41),100)),INDEX(기본자료!$K$2:$K$301,$AB41)&amp;"")))))</f>
        <v/>
      </c>
      <c r="F41" s="10">
        <f>IF($AB41="","",IF(INDEX(기본자료!$D$2:$D$301,$AB41)="","",INDEX(기본자료!$D$2:$D$301,$AB41)))</f>
        <v/>
      </c>
      <c r="G41" s="10">
        <f>IF($AB41="","",IF(INDEX(기본자료!$E$2:$E$301,$AB41)="","",INDEX(기본자료!$E$2:$E$301,$AB41)))</f>
        <v/>
      </c>
      <c r="H41" s="10">
        <f>IF($AB41="","",IF(INDEX(기본자료!$F$2:$F$301,$AB41)="","",INDEX(기본자료!$F$2:$F$301,$AB41)))</f>
        <v/>
      </c>
      <c r="I41" s="11">
        <f>IF($AB41="","",IF(INDEX(기본자료!$G$2:$G$301,$AB41)="","",IF(NOT(ISNUMBER(INDEX(기본자료!$G$2:$G$301,$AB41))),INDEX(기본자료!$G$2:$G$301,$AB41),IF(INDEX(기본자료!$G$2:$G$301,$AB41)&lt;1000000,INDEX(기본자료!$G$2:$G$301,$AB41),IF(AND(INDEX(기본자료!$G$2:$G$301,$AB41)&gt;=10000101,INT(MOD(INDEX(기본자료!$G$2:$G$301,$AB41),10000)/100)&gt;=1,INT(MOD(INDEX(기본자료!$G$2:$G$301,$AB41),10000)/100)&lt;=12,MOD(INDEX(기본자료!$G$2:$G$301,$AB41),100)&gt;=1,MOD(INDEX(기본자료!$G$2:$G$301,$AB41),100)&lt;=31),DATE(INT(INDEX(기본자료!$G$2:$G$301,$AB41)/10000),INT(MOD(INDEX(기본자료!$G$2:$G$301,$AB41),10000)/100),MOD(INDEX(기본자료!$G$2:$G$301,$AB41),100)),INDEX(기본자료!$G$2:$G$301,$AB41)&amp;"")))))</f>
        <v/>
      </c>
      <c r="J41" s="10">
        <f>IF($AB41="","",IF(INDEX(기본자료!$H$2:$H$301,$AB41)="","",INDEX(기본자료!$H$2:$H$301,$AB41)))</f>
        <v/>
      </c>
      <c r="K41" s="10">
        <f>IF($AB41="","",IF(INDEX(기본자료!$I$2:$I$301,$AB41)="","",INDEX(기본자료!$I$2:$I$301,$AB41)))</f>
        <v/>
      </c>
      <c r="L41" s="10">
        <f>IF($AB41="","",IF(INDEX(기본자료!$A$2:$A$301,$AB41)="","",INDEX(기본자료!$A$2:$A$301,$AB41)))</f>
        <v/>
      </c>
      <c r="M41" s="15" t="n"/>
      <c r="N41" s="10">
        <f>IF($B41="","",IF(AND($U41="파견중",$Q41&lt;&gt;""),$Q41,IF(AND($AD41&lt;&gt;"",LEFT($AD41,1)&lt;&gt;"⚠"),LEFT($AD41,FIND(" ",$AD41)-1),IF($H41="","",IF(RIGHT($H41,2)="병원",$H41,$H41&amp;"병원")))))</f>
        <v/>
      </c>
      <c r="O41" s="10">
        <f>IF($B41="","",IF(AND($U41="파견중",$Q41&lt;&gt;""),IF($R41&lt;&gt;"",$R41,"파견과 미입력"),IF(AND($AD41&lt;&gt;"",LEFT($AD41,1)&lt;&gt;"⚠"),MID($AD41,FIND(" ",$AD41)+1,60),IF($F41="","",IF($F41="인턴","수련교육부(인턴)",$F41)))))</f>
        <v/>
      </c>
      <c r="P41" s="10">
        <f>IF($B41="","",IF($AK41&lt;&gt;"",IF(AND(TODAY()&gt;=INDEX(파견수련계획!$AB$4:$AB$83,$AK41),OR(NOT(ISNUMBER(INDEX(파견수련계획!$AC$4:$AC$83,$AK41))),TODAY()&lt;=INDEX(파견수련계획!$AC$4:$AC$83,$AK41))),"다기관",IF($AF41="","",INDEX(파견수련계획!$T$4:$T$83,$AF41))),IF($AF41="","",INDEX(파견수련계획!$T$4:$T$83,$AF41))))</f>
        <v/>
      </c>
      <c r="Q41" s="10">
        <f>IF($AF41="","",INDEX(파견수련계획!$S$4:$S$83,$AF41))</f>
        <v/>
      </c>
      <c r="R41" s="10">
        <f>IF($AF41="","",INDEX(파견수련계획!$U$4:$U$83,$AF41))</f>
        <v/>
      </c>
      <c r="S41" s="11">
        <f>IF($AF41="","",IF(INDEX(파견수련계획!$H$4:$H$83,$AF41)="","",INDEX(파견수련계획!$H$4:$H$83,$AF41)))</f>
        <v/>
      </c>
      <c r="T41" s="11">
        <f>IF($AF41="","",IF(INDEX(파견수련계획!$I$4:$I$83,$AF41)="","",INDEX(파견수련계획!$I$4:$I$83,$AF41)))</f>
        <v/>
      </c>
      <c r="U41" s="10">
        <f>IF($AF41="","",INDEX(파견수련계획!$X$4:$X$83,$AF41))</f>
        <v/>
      </c>
      <c r="V41" s="17">
        <f>IF($AF41="","",INDEX(파견수련계획!$V$4:$V$83,$AF41))</f>
        <v/>
      </c>
      <c r="W41" s="17">
        <f>IF(AND($U41="파견중",$T41&lt;&gt;""),$T41-TODAY(),"")</f>
        <v/>
      </c>
      <c r="X41" s="17">
        <f>IF(OR($B41="",TRIM($J41&amp;"")=""),"",SUMPRODUCT((파견수련계획!$Q$4:$Q$83=TRIM($J41&amp;""))*파견수련계획!$W$4:$W$83))</f>
        <v/>
      </c>
      <c r="Y41" s="10">
        <f>IF($B41="","",IF($AG41="","",IF(IF(TRIM($J41&amp;"")="",0,SUMPRODUCT((파견수련계획!$Q$4:$Q$83=TRIM($J41&amp;""))*파견수련계획!$AD$4:$AD$83))&gt;0,$AE41,IF(N($X41)&lt;=0,$AG41,IF($AH41+$AI41=DAY(EOMONTH(요약!$B$3,0)),IF(AND($AH41&gt;=요약!$E$3,$AI41&lt;요약!$E$3),"서울병원",IF(AND($AI41&gt;=요약!$E$3,$AH41&lt;요약!$E$3),"구리병원","⚠15일 판정불가(서울 "&amp;$AH41&amp;"일/구리 "&amp;$AI41&amp;"일)")),IF($AJ41="",$AE41,IF(INDEX(파견수련계획!$T$4:$T$83,$AJ41)="통합수련",INDEX(파견수련계획!$S$4:$S$83,$AJ41),$AE41)))))))</f>
        <v/>
      </c>
      <c r="Z41" s="19">
        <f>IF($B41="","",IF($AB41="","기본자료에 없는 사번",IF(COUNTIF($B$2:$B$61,$B41)&gt;1,"중복 사번",IF($AE41="","소속(입사장소) 입력",IF(IF(TRIM($J41&amp;"")="",0,SUMPRODUCT((파견수련계획!$Q$4:$Q$83=TRIM($J41&amp;""))*(파견수련계획!$AA$4:$AA$83&lt;&gt;"")))&gt;0,"파견수련계획 입력오류 확인",IF(LEFT($Y41,1)="⚠","서울·구리 15일 판정 불가(양쪽 모두 이상/미만)",IF(IF($AC41="",0,N(INDEX(인턴근무계획!$T$3:$T$62,$AC41)))&gt;0,"인턴계획 입력오류 확인",IF(AND($AC41&lt;&gt;"",$U41&lt;&gt;"파견중",$N41&lt;&gt;$AE41),"인턴 타지역 근무: 파견 여부 확인","정상"))))))))</f>
        <v/>
      </c>
      <c r="AA41" s="5" t="n"/>
      <c r="AB41" s="10">
        <f>IF($B41="","",IFERROR(MATCH($B41,기본자료!$B$2:$B$301,0),IFERROR(MATCH($B41&amp;"",기본자료!$B$2:$B$301,0),IFERROR(MATCH(VALUE($B41),기본자료!$B$2:$B$301,0),""))))</f>
        <v/>
      </c>
      <c r="AC41" s="10">
        <f>IF($B41="","",IFERROR(MATCH($B41,인턴근무계획!$D$3:$D$62,0),IFERROR(MATCH($B41&amp;"",인턴근무계획!$D$3:$D$62,0),IFERROR(MATCH(VALUE($B41),인턴근무계획!$D$3:$D$62,0),""))))</f>
        <v/>
      </c>
      <c r="AD41" s="10">
        <f>IF(OR($AC41="",인턴현황!$G$3=""),"",INDEX(인턴근무계획!$M$3:$R$62,$AC41,인턴현황!$G$3)&amp;"")</f>
        <v/>
      </c>
      <c r="AE41" s="10">
        <f>IF($B41="","",IF($M41&lt;&gt;"",$M41,IF($AF41&lt;&gt;"",IF(LEFT(INDEX(파견수련계획!$R$4:$R$83,$AF41),1)&lt;&gt;"⚠",INDEX(파견수련계획!$R$4:$R$83,$AF41),IF($H41="","",IF(RIGHT($H41,2)="병원",$H41,$H41&amp;"병원"))),IF($H41="","",IF(RIGHT($H41,2)="병원",$H41,$H41&amp;"병원")))))</f>
        <v/>
      </c>
      <c r="AF41" s="10">
        <f>IF(OR($B41="",TRIM($J41&amp;"")=""),"",IFERROR(MATCH(TRIM($J41&amp;"")&amp;"|파견중",파견수련계획!$Y$4:$Y$83,0),IFERROR(MATCH(TRIM($J41&amp;"")&amp;"|파견예정",파견수련계획!$Y$4:$Y$83,0),IFERROR(MATCH(TRIM($J41&amp;"")&amp;"|파견종료",파견수련계획!$Y$4:$Y$83,0),""))))</f>
        <v/>
      </c>
      <c r="AG41" s="10">
        <f>IF($B41="","",IF(AND(IF(OR($AC41="",인턴현황!$K$2=""),"",INDEX(인턴근무계획!$M$3:$R$62,$AC41,인턴현황!$K$2)&amp;"")&lt;&gt;"",LEFT(IF(OR($AC41="",인턴현황!$K$2=""),"",INDEX(인턴근무계획!$M$3:$R$62,$AC41,인턴현황!$K$2)&amp;""),1)&lt;&gt;"⚠"),LEFT(IF(OR($AC41="",인턴현황!$K$2=""),"",INDEX(인턴근무계획!$M$3:$R$62,$AC41,인턴현황!$K$2)&amp;""),FIND(" ",IF(OR($AC41="",인턴현황!$K$2=""),"",INDEX(인턴근무계획!$M$3:$R$62,$AC41,인턴현황!$K$2)&amp;""))-1),$AE41))</f>
        <v/>
      </c>
      <c r="AH41" s="17">
        <f>IF($B41="","",IF(TRIM($J41&amp;"")="",0,SUMPRODUCT((파견수련계획!$Q$4:$Q$83=TRIM($J41&amp;""))*(파견수련계획!$S$4:$S$83="서울병원")*파견수련계획!$W$4:$W$83))+IF($AG41="서울병원",MAX(0,DAY(EOMONTH(요약!$B$3,0))-N($X41)),0))</f>
        <v/>
      </c>
      <c r="AI41" s="17">
        <f>IF($B41="","",IF(TRIM($J41&amp;"")="",0,SUMPRODUCT((파견수련계획!$Q$4:$Q$83=TRIM($J41&amp;""))*(파견수련계획!$S$4:$S$83="구리병원")*파견수련계획!$W$4:$W$83))+IF($AG41="구리병원",MAX(0,DAY(EOMONTH(요약!$B$3,0))-N($X41)),0))</f>
        <v/>
      </c>
      <c r="AJ41" s="10">
        <f>IF(OR($B41="",TRIM($J41&amp;"")=""),"",IFERROR(MATCH(TRIM($J41&amp;"")&amp;"|월",파견수련계획!$Z$4:$Z$83,0),""))</f>
        <v/>
      </c>
      <c r="AK41" s="10">
        <f>IF(OR($B41="",TRIM($J41&amp;"")=""),"",IFERROR(MATCH(TRIM($J41&amp;"")&amp;"|다기관",파견수련계획!$AE$4:$AE$83,0),""))</f>
        <v/>
      </c>
      <c r="AL41" s="10">
        <f>IF($AK41="","","다기관 "&amp;TEXT(INDEX(파견수련계획!$AB$4:$AB$83,$AK41),"yyyy-mm-dd")&amp;"~"&amp;IF(ISNUMBER(INDEX(파견수련계획!$AC$4:$AC$83,$AK41)),TEXT(INDEX(파견수련계획!$AC$4:$AC$83,$AK41),"yyyy-mm-dd"),""))</f>
        <v/>
      </c>
    </row>
    <row r="42">
      <c r="A42" s="10">
        <f>IF(B42="","",ROW()-1)</f>
        <v/>
      </c>
      <c r="B42" s="18" t="n"/>
      <c r="C42" s="10">
        <f>IF($AB42="","",IF(INDEX(기본자료!$C$2:$C$301,$AB42)="","",INDEX(기본자료!$C$2:$C$301,$AB42)))</f>
        <v/>
      </c>
      <c r="D42" s="10">
        <f>IF($AB42="","",IF(INDEX(기본자료!$J$2:$J$301,$AB42)="","",INDEX(기본자료!$J$2:$J$301,$AB42)))</f>
        <v/>
      </c>
      <c r="E42" s="11">
        <f>IF($AB42="","",IF(INDEX(기본자료!$K$2:$K$301,$AB42)="","",IF(NOT(ISNUMBER(INDEX(기본자료!$K$2:$K$301,$AB42))),INDEX(기본자료!$K$2:$K$301,$AB42),IF(INDEX(기본자료!$K$2:$K$301,$AB42)&lt;1000000,INDEX(기본자료!$K$2:$K$301,$AB42),IF(AND(INDEX(기본자료!$K$2:$K$301,$AB42)&gt;=10000101,INT(MOD(INDEX(기본자료!$K$2:$K$301,$AB42),10000)/100)&gt;=1,INT(MOD(INDEX(기본자료!$K$2:$K$301,$AB42),10000)/100)&lt;=12,MOD(INDEX(기본자료!$K$2:$K$301,$AB42),100)&gt;=1,MOD(INDEX(기본자료!$K$2:$K$301,$AB42),100)&lt;=31),DATE(INT(INDEX(기본자료!$K$2:$K$301,$AB42)/10000),INT(MOD(INDEX(기본자료!$K$2:$K$301,$AB42),10000)/100),MOD(INDEX(기본자료!$K$2:$K$301,$AB42),100)),INDEX(기본자료!$K$2:$K$301,$AB42)&amp;"")))))</f>
        <v/>
      </c>
      <c r="F42" s="10">
        <f>IF($AB42="","",IF(INDEX(기본자료!$D$2:$D$301,$AB42)="","",INDEX(기본자료!$D$2:$D$301,$AB42)))</f>
        <v/>
      </c>
      <c r="G42" s="10">
        <f>IF($AB42="","",IF(INDEX(기본자료!$E$2:$E$301,$AB42)="","",INDEX(기본자료!$E$2:$E$301,$AB42)))</f>
        <v/>
      </c>
      <c r="H42" s="10">
        <f>IF($AB42="","",IF(INDEX(기본자료!$F$2:$F$301,$AB42)="","",INDEX(기본자료!$F$2:$F$301,$AB42)))</f>
        <v/>
      </c>
      <c r="I42" s="11">
        <f>IF($AB42="","",IF(INDEX(기본자료!$G$2:$G$301,$AB42)="","",IF(NOT(ISNUMBER(INDEX(기본자료!$G$2:$G$301,$AB42))),INDEX(기본자료!$G$2:$G$301,$AB42),IF(INDEX(기본자료!$G$2:$G$301,$AB42)&lt;1000000,INDEX(기본자료!$G$2:$G$301,$AB42),IF(AND(INDEX(기본자료!$G$2:$G$301,$AB42)&gt;=10000101,INT(MOD(INDEX(기본자료!$G$2:$G$301,$AB42),10000)/100)&gt;=1,INT(MOD(INDEX(기본자료!$G$2:$G$301,$AB42),10000)/100)&lt;=12,MOD(INDEX(기본자료!$G$2:$G$301,$AB42),100)&gt;=1,MOD(INDEX(기본자료!$G$2:$G$301,$AB42),100)&lt;=31),DATE(INT(INDEX(기본자료!$G$2:$G$301,$AB42)/10000),INT(MOD(INDEX(기본자료!$G$2:$G$301,$AB42),10000)/100),MOD(INDEX(기본자료!$G$2:$G$301,$AB42),100)),INDEX(기본자료!$G$2:$G$301,$AB42)&amp;"")))))</f>
        <v/>
      </c>
      <c r="J42" s="10">
        <f>IF($AB42="","",IF(INDEX(기본자료!$H$2:$H$301,$AB42)="","",INDEX(기본자료!$H$2:$H$301,$AB42)))</f>
        <v/>
      </c>
      <c r="K42" s="10">
        <f>IF($AB42="","",IF(INDEX(기본자료!$I$2:$I$301,$AB42)="","",INDEX(기본자료!$I$2:$I$301,$AB42)))</f>
        <v/>
      </c>
      <c r="L42" s="10">
        <f>IF($AB42="","",IF(INDEX(기본자료!$A$2:$A$301,$AB42)="","",INDEX(기본자료!$A$2:$A$301,$AB42)))</f>
        <v/>
      </c>
      <c r="M42" s="15" t="n"/>
      <c r="N42" s="10">
        <f>IF($B42="","",IF(AND($U42="파견중",$Q42&lt;&gt;""),$Q42,IF(AND($AD42&lt;&gt;"",LEFT($AD42,1)&lt;&gt;"⚠"),LEFT($AD42,FIND(" ",$AD42)-1),IF($H42="","",IF(RIGHT($H42,2)="병원",$H42,$H42&amp;"병원")))))</f>
        <v/>
      </c>
      <c r="O42" s="10">
        <f>IF($B42="","",IF(AND($U42="파견중",$Q42&lt;&gt;""),IF($R42&lt;&gt;"",$R42,"파견과 미입력"),IF(AND($AD42&lt;&gt;"",LEFT($AD42,1)&lt;&gt;"⚠"),MID($AD42,FIND(" ",$AD42)+1,60),IF($F42="","",IF($F42="인턴","수련교육부(인턴)",$F42)))))</f>
        <v/>
      </c>
      <c r="P42" s="10">
        <f>IF($B42="","",IF($AK42&lt;&gt;"",IF(AND(TODAY()&gt;=INDEX(파견수련계획!$AB$4:$AB$83,$AK42),OR(NOT(ISNUMBER(INDEX(파견수련계획!$AC$4:$AC$83,$AK42))),TODAY()&lt;=INDEX(파견수련계획!$AC$4:$AC$83,$AK42))),"다기관",IF($AF42="","",INDEX(파견수련계획!$T$4:$T$83,$AF42))),IF($AF42="","",INDEX(파견수련계획!$T$4:$T$83,$AF42))))</f>
        <v/>
      </c>
      <c r="Q42" s="10">
        <f>IF($AF42="","",INDEX(파견수련계획!$S$4:$S$83,$AF42))</f>
        <v/>
      </c>
      <c r="R42" s="10">
        <f>IF($AF42="","",INDEX(파견수련계획!$U$4:$U$83,$AF42))</f>
        <v/>
      </c>
      <c r="S42" s="11">
        <f>IF($AF42="","",IF(INDEX(파견수련계획!$H$4:$H$83,$AF42)="","",INDEX(파견수련계획!$H$4:$H$83,$AF42)))</f>
        <v/>
      </c>
      <c r="T42" s="11">
        <f>IF($AF42="","",IF(INDEX(파견수련계획!$I$4:$I$83,$AF42)="","",INDEX(파견수련계획!$I$4:$I$83,$AF42)))</f>
        <v/>
      </c>
      <c r="U42" s="10">
        <f>IF($AF42="","",INDEX(파견수련계획!$X$4:$X$83,$AF42))</f>
        <v/>
      </c>
      <c r="V42" s="17">
        <f>IF($AF42="","",INDEX(파견수련계획!$V$4:$V$83,$AF42))</f>
        <v/>
      </c>
      <c r="W42" s="17">
        <f>IF(AND($U42="파견중",$T42&lt;&gt;""),$T42-TODAY(),"")</f>
        <v/>
      </c>
      <c r="X42" s="17">
        <f>IF(OR($B42="",TRIM($J42&amp;"")=""),"",SUMPRODUCT((파견수련계획!$Q$4:$Q$83=TRIM($J42&amp;""))*파견수련계획!$W$4:$W$83))</f>
        <v/>
      </c>
      <c r="Y42" s="10">
        <f>IF($B42="","",IF($AG42="","",IF(IF(TRIM($J42&amp;"")="",0,SUMPRODUCT((파견수련계획!$Q$4:$Q$83=TRIM($J42&amp;""))*파견수련계획!$AD$4:$AD$83))&gt;0,$AE42,IF(N($X42)&lt;=0,$AG42,IF($AH42+$AI42=DAY(EOMONTH(요약!$B$3,0)),IF(AND($AH42&gt;=요약!$E$3,$AI42&lt;요약!$E$3),"서울병원",IF(AND($AI42&gt;=요약!$E$3,$AH42&lt;요약!$E$3),"구리병원","⚠15일 판정불가(서울 "&amp;$AH42&amp;"일/구리 "&amp;$AI42&amp;"일)")),IF($AJ42="",$AE42,IF(INDEX(파견수련계획!$T$4:$T$83,$AJ42)="통합수련",INDEX(파견수련계획!$S$4:$S$83,$AJ42),$AE42)))))))</f>
        <v/>
      </c>
      <c r="Z42" s="19">
        <f>IF($B42="","",IF($AB42="","기본자료에 없는 사번",IF(COUNTIF($B$2:$B$61,$B42)&gt;1,"중복 사번",IF($AE42="","소속(입사장소) 입력",IF(IF(TRIM($J42&amp;"")="",0,SUMPRODUCT((파견수련계획!$Q$4:$Q$83=TRIM($J42&amp;""))*(파견수련계획!$AA$4:$AA$83&lt;&gt;"")))&gt;0,"파견수련계획 입력오류 확인",IF(LEFT($Y42,1)="⚠","서울·구리 15일 판정 불가(양쪽 모두 이상/미만)",IF(IF($AC42="",0,N(INDEX(인턴근무계획!$T$3:$T$62,$AC42)))&gt;0,"인턴계획 입력오류 확인",IF(AND($AC42&lt;&gt;"",$U42&lt;&gt;"파견중",$N42&lt;&gt;$AE42),"인턴 타지역 근무: 파견 여부 확인","정상"))))))))</f>
        <v/>
      </c>
      <c r="AA42" s="5" t="n"/>
      <c r="AB42" s="10">
        <f>IF($B42="","",IFERROR(MATCH($B42,기본자료!$B$2:$B$301,0),IFERROR(MATCH($B42&amp;"",기본자료!$B$2:$B$301,0),IFERROR(MATCH(VALUE($B42),기본자료!$B$2:$B$301,0),""))))</f>
        <v/>
      </c>
      <c r="AC42" s="10">
        <f>IF($B42="","",IFERROR(MATCH($B42,인턴근무계획!$D$3:$D$62,0),IFERROR(MATCH($B42&amp;"",인턴근무계획!$D$3:$D$62,0),IFERROR(MATCH(VALUE($B42),인턴근무계획!$D$3:$D$62,0),""))))</f>
        <v/>
      </c>
      <c r="AD42" s="10">
        <f>IF(OR($AC42="",인턴현황!$G$3=""),"",INDEX(인턴근무계획!$M$3:$R$62,$AC42,인턴현황!$G$3)&amp;"")</f>
        <v/>
      </c>
      <c r="AE42" s="10">
        <f>IF($B42="","",IF($M42&lt;&gt;"",$M42,IF($AF42&lt;&gt;"",IF(LEFT(INDEX(파견수련계획!$R$4:$R$83,$AF42),1)&lt;&gt;"⚠",INDEX(파견수련계획!$R$4:$R$83,$AF42),IF($H42="","",IF(RIGHT($H42,2)="병원",$H42,$H42&amp;"병원"))),IF($H42="","",IF(RIGHT($H42,2)="병원",$H42,$H42&amp;"병원")))))</f>
        <v/>
      </c>
      <c r="AF42" s="10">
        <f>IF(OR($B42="",TRIM($J42&amp;"")=""),"",IFERROR(MATCH(TRIM($J42&amp;"")&amp;"|파견중",파견수련계획!$Y$4:$Y$83,0),IFERROR(MATCH(TRIM($J42&amp;"")&amp;"|파견예정",파견수련계획!$Y$4:$Y$83,0),IFERROR(MATCH(TRIM($J42&amp;"")&amp;"|파견종료",파견수련계획!$Y$4:$Y$83,0),""))))</f>
        <v/>
      </c>
      <c r="AG42" s="10">
        <f>IF($B42="","",IF(AND(IF(OR($AC42="",인턴현황!$K$2=""),"",INDEX(인턴근무계획!$M$3:$R$62,$AC42,인턴현황!$K$2)&amp;"")&lt;&gt;"",LEFT(IF(OR($AC42="",인턴현황!$K$2=""),"",INDEX(인턴근무계획!$M$3:$R$62,$AC42,인턴현황!$K$2)&amp;""),1)&lt;&gt;"⚠"),LEFT(IF(OR($AC42="",인턴현황!$K$2=""),"",INDEX(인턴근무계획!$M$3:$R$62,$AC42,인턴현황!$K$2)&amp;""),FIND(" ",IF(OR($AC42="",인턴현황!$K$2=""),"",INDEX(인턴근무계획!$M$3:$R$62,$AC42,인턴현황!$K$2)&amp;""))-1),$AE42))</f>
        <v/>
      </c>
      <c r="AH42" s="17">
        <f>IF($B42="","",IF(TRIM($J42&amp;"")="",0,SUMPRODUCT((파견수련계획!$Q$4:$Q$83=TRIM($J42&amp;""))*(파견수련계획!$S$4:$S$83="서울병원")*파견수련계획!$W$4:$W$83))+IF($AG42="서울병원",MAX(0,DAY(EOMONTH(요약!$B$3,0))-N($X42)),0))</f>
        <v/>
      </c>
      <c r="AI42" s="17">
        <f>IF($B42="","",IF(TRIM($J42&amp;"")="",0,SUMPRODUCT((파견수련계획!$Q$4:$Q$83=TRIM($J42&amp;""))*(파견수련계획!$S$4:$S$83="구리병원")*파견수련계획!$W$4:$W$83))+IF($AG42="구리병원",MAX(0,DAY(EOMONTH(요약!$B$3,0))-N($X42)),0))</f>
        <v/>
      </c>
      <c r="AJ42" s="10">
        <f>IF(OR($B42="",TRIM($J42&amp;"")=""),"",IFERROR(MATCH(TRIM($J42&amp;"")&amp;"|월",파견수련계획!$Z$4:$Z$83,0),""))</f>
        <v/>
      </c>
      <c r="AK42" s="10">
        <f>IF(OR($B42="",TRIM($J42&amp;"")=""),"",IFERROR(MATCH(TRIM($J42&amp;"")&amp;"|다기관",파견수련계획!$AE$4:$AE$83,0),""))</f>
        <v/>
      </c>
      <c r="AL42" s="10">
        <f>IF($AK42="","","다기관 "&amp;TEXT(INDEX(파견수련계획!$AB$4:$AB$83,$AK42),"yyyy-mm-dd")&amp;"~"&amp;IF(ISNUMBER(INDEX(파견수련계획!$AC$4:$AC$83,$AK42)),TEXT(INDEX(파견수련계획!$AC$4:$AC$83,$AK42),"yyyy-mm-dd"),""))</f>
        <v/>
      </c>
    </row>
    <row r="43">
      <c r="A43" s="10">
        <f>IF(B43="","",ROW()-1)</f>
        <v/>
      </c>
      <c r="B43" s="18" t="n"/>
      <c r="C43" s="10">
        <f>IF($AB43="","",IF(INDEX(기본자료!$C$2:$C$301,$AB43)="","",INDEX(기본자료!$C$2:$C$301,$AB43)))</f>
        <v/>
      </c>
      <c r="D43" s="10">
        <f>IF($AB43="","",IF(INDEX(기본자료!$J$2:$J$301,$AB43)="","",INDEX(기본자료!$J$2:$J$301,$AB43)))</f>
        <v/>
      </c>
      <c r="E43" s="11">
        <f>IF($AB43="","",IF(INDEX(기본자료!$K$2:$K$301,$AB43)="","",IF(NOT(ISNUMBER(INDEX(기본자료!$K$2:$K$301,$AB43))),INDEX(기본자료!$K$2:$K$301,$AB43),IF(INDEX(기본자료!$K$2:$K$301,$AB43)&lt;1000000,INDEX(기본자료!$K$2:$K$301,$AB43),IF(AND(INDEX(기본자료!$K$2:$K$301,$AB43)&gt;=10000101,INT(MOD(INDEX(기본자료!$K$2:$K$301,$AB43),10000)/100)&gt;=1,INT(MOD(INDEX(기본자료!$K$2:$K$301,$AB43),10000)/100)&lt;=12,MOD(INDEX(기본자료!$K$2:$K$301,$AB43),100)&gt;=1,MOD(INDEX(기본자료!$K$2:$K$301,$AB43),100)&lt;=31),DATE(INT(INDEX(기본자료!$K$2:$K$301,$AB43)/10000),INT(MOD(INDEX(기본자료!$K$2:$K$301,$AB43),10000)/100),MOD(INDEX(기본자료!$K$2:$K$301,$AB43),100)),INDEX(기본자료!$K$2:$K$301,$AB43)&amp;"")))))</f>
        <v/>
      </c>
      <c r="F43" s="10">
        <f>IF($AB43="","",IF(INDEX(기본자료!$D$2:$D$301,$AB43)="","",INDEX(기본자료!$D$2:$D$301,$AB43)))</f>
        <v/>
      </c>
      <c r="G43" s="10">
        <f>IF($AB43="","",IF(INDEX(기본자료!$E$2:$E$301,$AB43)="","",INDEX(기본자료!$E$2:$E$301,$AB43)))</f>
        <v/>
      </c>
      <c r="H43" s="10">
        <f>IF($AB43="","",IF(INDEX(기본자료!$F$2:$F$301,$AB43)="","",INDEX(기본자료!$F$2:$F$301,$AB43)))</f>
        <v/>
      </c>
      <c r="I43" s="11">
        <f>IF($AB43="","",IF(INDEX(기본자료!$G$2:$G$301,$AB43)="","",IF(NOT(ISNUMBER(INDEX(기본자료!$G$2:$G$301,$AB43))),INDEX(기본자료!$G$2:$G$301,$AB43),IF(INDEX(기본자료!$G$2:$G$301,$AB43)&lt;1000000,INDEX(기본자료!$G$2:$G$301,$AB43),IF(AND(INDEX(기본자료!$G$2:$G$301,$AB43)&gt;=10000101,INT(MOD(INDEX(기본자료!$G$2:$G$301,$AB43),10000)/100)&gt;=1,INT(MOD(INDEX(기본자료!$G$2:$G$301,$AB43),10000)/100)&lt;=12,MOD(INDEX(기본자료!$G$2:$G$301,$AB43),100)&gt;=1,MOD(INDEX(기본자료!$G$2:$G$301,$AB43),100)&lt;=31),DATE(INT(INDEX(기본자료!$G$2:$G$301,$AB43)/10000),INT(MOD(INDEX(기본자료!$G$2:$G$301,$AB43),10000)/100),MOD(INDEX(기본자료!$G$2:$G$301,$AB43),100)),INDEX(기본자료!$G$2:$G$301,$AB43)&amp;"")))))</f>
        <v/>
      </c>
      <c r="J43" s="10">
        <f>IF($AB43="","",IF(INDEX(기본자료!$H$2:$H$301,$AB43)="","",INDEX(기본자료!$H$2:$H$301,$AB43)))</f>
        <v/>
      </c>
      <c r="K43" s="10">
        <f>IF($AB43="","",IF(INDEX(기본자료!$I$2:$I$301,$AB43)="","",INDEX(기본자료!$I$2:$I$301,$AB43)))</f>
        <v/>
      </c>
      <c r="L43" s="10">
        <f>IF($AB43="","",IF(INDEX(기본자료!$A$2:$A$301,$AB43)="","",INDEX(기본자료!$A$2:$A$301,$AB43)))</f>
        <v/>
      </c>
      <c r="M43" s="15" t="n"/>
      <c r="N43" s="10">
        <f>IF($B43="","",IF(AND($U43="파견중",$Q43&lt;&gt;""),$Q43,IF(AND($AD43&lt;&gt;"",LEFT($AD43,1)&lt;&gt;"⚠"),LEFT($AD43,FIND(" ",$AD43)-1),IF($H43="","",IF(RIGHT($H43,2)="병원",$H43,$H43&amp;"병원")))))</f>
        <v/>
      </c>
      <c r="O43" s="10">
        <f>IF($B43="","",IF(AND($U43="파견중",$Q43&lt;&gt;""),IF($R43&lt;&gt;"",$R43,"파견과 미입력"),IF(AND($AD43&lt;&gt;"",LEFT($AD43,1)&lt;&gt;"⚠"),MID($AD43,FIND(" ",$AD43)+1,60),IF($F43="","",IF($F43="인턴","수련교육부(인턴)",$F43)))))</f>
        <v/>
      </c>
      <c r="P43" s="10">
        <f>IF($B43="","",IF($AK43&lt;&gt;"",IF(AND(TODAY()&gt;=INDEX(파견수련계획!$AB$4:$AB$83,$AK43),OR(NOT(ISNUMBER(INDEX(파견수련계획!$AC$4:$AC$83,$AK43))),TODAY()&lt;=INDEX(파견수련계획!$AC$4:$AC$83,$AK43))),"다기관",IF($AF43="","",INDEX(파견수련계획!$T$4:$T$83,$AF43))),IF($AF43="","",INDEX(파견수련계획!$T$4:$T$83,$AF43))))</f>
        <v/>
      </c>
      <c r="Q43" s="10">
        <f>IF($AF43="","",INDEX(파견수련계획!$S$4:$S$83,$AF43))</f>
        <v/>
      </c>
      <c r="R43" s="10">
        <f>IF($AF43="","",INDEX(파견수련계획!$U$4:$U$83,$AF43))</f>
        <v/>
      </c>
      <c r="S43" s="11">
        <f>IF($AF43="","",IF(INDEX(파견수련계획!$H$4:$H$83,$AF43)="","",INDEX(파견수련계획!$H$4:$H$83,$AF43)))</f>
        <v/>
      </c>
      <c r="T43" s="11">
        <f>IF($AF43="","",IF(INDEX(파견수련계획!$I$4:$I$83,$AF43)="","",INDEX(파견수련계획!$I$4:$I$83,$AF43)))</f>
        <v/>
      </c>
      <c r="U43" s="10">
        <f>IF($AF43="","",INDEX(파견수련계획!$X$4:$X$83,$AF43))</f>
        <v/>
      </c>
      <c r="V43" s="17">
        <f>IF($AF43="","",INDEX(파견수련계획!$V$4:$V$83,$AF43))</f>
        <v/>
      </c>
      <c r="W43" s="17">
        <f>IF(AND($U43="파견중",$T43&lt;&gt;""),$T43-TODAY(),"")</f>
        <v/>
      </c>
      <c r="X43" s="17">
        <f>IF(OR($B43="",TRIM($J43&amp;"")=""),"",SUMPRODUCT((파견수련계획!$Q$4:$Q$83=TRIM($J43&amp;""))*파견수련계획!$W$4:$W$83))</f>
        <v/>
      </c>
      <c r="Y43" s="10">
        <f>IF($B43="","",IF($AG43="","",IF(IF(TRIM($J43&amp;"")="",0,SUMPRODUCT((파견수련계획!$Q$4:$Q$83=TRIM($J43&amp;""))*파견수련계획!$AD$4:$AD$83))&gt;0,$AE43,IF(N($X43)&lt;=0,$AG43,IF($AH43+$AI43=DAY(EOMONTH(요약!$B$3,0)),IF(AND($AH43&gt;=요약!$E$3,$AI43&lt;요약!$E$3),"서울병원",IF(AND($AI43&gt;=요약!$E$3,$AH43&lt;요약!$E$3),"구리병원","⚠15일 판정불가(서울 "&amp;$AH43&amp;"일/구리 "&amp;$AI43&amp;"일)")),IF($AJ43="",$AE43,IF(INDEX(파견수련계획!$T$4:$T$83,$AJ43)="통합수련",INDEX(파견수련계획!$S$4:$S$83,$AJ43),$AE43)))))))</f>
        <v/>
      </c>
      <c r="Z43" s="19">
        <f>IF($B43="","",IF($AB43="","기본자료에 없는 사번",IF(COUNTIF($B$2:$B$61,$B43)&gt;1,"중복 사번",IF($AE43="","소속(입사장소) 입력",IF(IF(TRIM($J43&amp;"")="",0,SUMPRODUCT((파견수련계획!$Q$4:$Q$83=TRIM($J43&amp;""))*(파견수련계획!$AA$4:$AA$83&lt;&gt;"")))&gt;0,"파견수련계획 입력오류 확인",IF(LEFT($Y43,1)="⚠","서울·구리 15일 판정 불가(양쪽 모두 이상/미만)",IF(IF($AC43="",0,N(INDEX(인턴근무계획!$T$3:$T$62,$AC43)))&gt;0,"인턴계획 입력오류 확인",IF(AND($AC43&lt;&gt;"",$U43&lt;&gt;"파견중",$N43&lt;&gt;$AE43),"인턴 타지역 근무: 파견 여부 확인","정상"))))))))</f>
        <v/>
      </c>
      <c r="AA43" s="5" t="n"/>
      <c r="AB43" s="10">
        <f>IF($B43="","",IFERROR(MATCH($B43,기본자료!$B$2:$B$301,0),IFERROR(MATCH($B43&amp;"",기본자료!$B$2:$B$301,0),IFERROR(MATCH(VALUE($B43),기본자료!$B$2:$B$301,0),""))))</f>
        <v/>
      </c>
      <c r="AC43" s="10">
        <f>IF($B43="","",IFERROR(MATCH($B43,인턴근무계획!$D$3:$D$62,0),IFERROR(MATCH($B43&amp;"",인턴근무계획!$D$3:$D$62,0),IFERROR(MATCH(VALUE($B43),인턴근무계획!$D$3:$D$62,0),""))))</f>
        <v/>
      </c>
      <c r="AD43" s="10">
        <f>IF(OR($AC43="",인턴현황!$G$3=""),"",INDEX(인턴근무계획!$M$3:$R$62,$AC43,인턴현황!$G$3)&amp;"")</f>
        <v/>
      </c>
      <c r="AE43" s="10">
        <f>IF($B43="","",IF($M43&lt;&gt;"",$M43,IF($AF43&lt;&gt;"",IF(LEFT(INDEX(파견수련계획!$R$4:$R$83,$AF43),1)&lt;&gt;"⚠",INDEX(파견수련계획!$R$4:$R$83,$AF43),IF($H43="","",IF(RIGHT($H43,2)="병원",$H43,$H43&amp;"병원"))),IF($H43="","",IF(RIGHT($H43,2)="병원",$H43,$H43&amp;"병원")))))</f>
        <v/>
      </c>
      <c r="AF43" s="10">
        <f>IF(OR($B43="",TRIM($J43&amp;"")=""),"",IFERROR(MATCH(TRIM($J43&amp;"")&amp;"|파견중",파견수련계획!$Y$4:$Y$83,0),IFERROR(MATCH(TRIM($J43&amp;"")&amp;"|파견예정",파견수련계획!$Y$4:$Y$83,0),IFERROR(MATCH(TRIM($J43&amp;"")&amp;"|파견종료",파견수련계획!$Y$4:$Y$83,0),""))))</f>
        <v/>
      </c>
      <c r="AG43" s="10">
        <f>IF($B43="","",IF(AND(IF(OR($AC43="",인턴현황!$K$2=""),"",INDEX(인턴근무계획!$M$3:$R$62,$AC43,인턴현황!$K$2)&amp;"")&lt;&gt;"",LEFT(IF(OR($AC43="",인턴현황!$K$2=""),"",INDEX(인턴근무계획!$M$3:$R$62,$AC43,인턴현황!$K$2)&amp;""),1)&lt;&gt;"⚠"),LEFT(IF(OR($AC43="",인턴현황!$K$2=""),"",INDEX(인턴근무계획!$M$3:$R$62,$AC43,인턴현황!$K$2)&amp;""),FIND(" ",IF(OR($AC43="",인턴현황!$K$2=""),"",INDEX(인턴근무계획!$M$3:$R$62,$AC43,인턴현황!$K$2)&amp;""))-1),$AE43))</f>
        <v/>
      </c>
      <c r="AH43" s="17">
        <f>IF($B43="","",IF(TRIM($J43&amp;"")="",0,SUMPRODUCT((파견수련계획!$Q$4:$Q$83=TRIM($J43&amp;""))*(파견수련계획!$S$4:$S$83="서울병원")*파견수련계획!$W$4:$W$83))+IF($AG43="서울병원",MAX(0,DAY(EOMONTH(요약!$B$3,0))-N($X43)),0))</f>
        <v/>
      </c>
      <c r="AI43" s="17">
        <f>IF($B43="","",IF(TRIM($J43&amp;"")="",0,SUMPRODUCT((파견수련계획!$Q$4:$Q$83=TRIM($J43&amp;""))*(파견수련계획!$S$4:$S$83="구리병원")*파견수련계획!$W$4:$W$83))+IF($AG43="구리병원",MAX(0,DAY(EOMONTH(요약!$B$3,0))-N($X43)),0))</f>
        <v/>
      </c>
      <c r="AJ43" s="10">
        <f>IF(OR($B43="",TRIM($J43&amp;"")=""),"",IFERROR(MATCH(TRIM($J43&amp;"")&amp;"|월",파견수련계획!$Z$4:$Z$83,0),""))</f>
        <v/>
      </c>
      <c r="AK43" s="10">
        <f>IF(OR($B43="",TRIM($J43&amp;"")=""),"",IFERROR(MATCH(TRIM($J43&amp;"")&amp;"|다기관",파견수련계획!$AE$4:$AE$83,0),""))</f>
        <v/>
      </c>
      <c r="AL43" s="10">
        <f>IF($AK43="","","다기관 "&amp;TEXT(INDEX(파견수련계획!$AB$4:$AB$83,$AK43),"yyyy-mm-dd")&amp;"~"&amp;IF(ISNUMBER(INDEX(파견수련계획!$AC$4:$AC$83,$AK43)),TEXT(INDEX(파견수련계획!$AC$4:$AC$83,$AK43),"yyyy-mm-dd"),""))</f>
        <v/>
      </c>
    </row>
    <row r="44">
      <c r="A44" s="10">
        <f>IF(B44="","",ROW()-1)</f>
        <v/>
      </c>
      <c r="B44" s="18" t="n"/>
      <c r="C44" s="10">
        <f>IF($AB44="","",IF(INDEX(기본자료!$C$2:$C$301,$AB44)="","",INDEX(기본자료!$C$2:$C$301,$AB44)))</f>
        <v/>
      </c>
      <c r="D44" s="10">
        <f>IF($AB44="","",IF(INDEX(기본자료!$J$2:$J$301,$AB44)="","",INDEX(기본자료!$J$2:$J$301,$AB44)))</f>
        <v/>
      </c>
      <c r="E44" s="11">
        <f>IF($AB44="","",IF(INDEX(기본자료!$K$2:$K$301,$AB44)="","",IF(NOT(ISNUMBER(INDEX(기본자료!$K$2:$K$301,$AB44))),INDEX(기본자료!$K$2:$K$301,$AB44),IF(INDEX(기본자료!$K$2:$K$301,$AB44)&lt;1000000,INDEX(기본자료!$K$2:$K$301,$AB44),IF(AND(INDEX(기본자료!$K$2:$K$301,$AB44)&gt;=10000101,INT(MOD(INDEX(기본자료!$K$2:$K$301,$AB44),10000)/100)&gt;=1,INT(MOD(INDEX(기본자료!$K$2:$K$301,$AB44),10000)/100)&lt;=12,MOD(INDEX(기본자료!$K$2:$K$301,$AB44),100)&gt;=1,MOD(INDEX(기본자료!$K$2:$K$301,$AB44),100)&lt;=31),DATE(INT(INDEX(기본자료!$K$2:$K$301,$AB44)/10000),INT(MOD(INDEX(기본자료!$K$2:$K$301,$AB44),10000)/100),MOD(INDEX(기본자료!$K$2:$K$301,$AB44),100)),INDEX(기본자료!$K$2:$K$301,$AB44)&amp;"")))))</f>
        <v/>
      </c>
      <c r="F44" s="10">
        <f>IF($AB44="","",IF(INDEX(기본자료!$D$2:$D$301,$AB44)="","",INDEX(기본자료!$D$2:$D$301,$AB44)))</f>
        <v/>
      </c>
      <c r="G44" s="10">
        <f>IF($AB44="","",IF(INDEX(기본자료!$E$2:$E$301,$AB44)="","",INDEX(기본자료!$E$2:$E$301,$AB44)))</f>
        <v/>
      </c>
      <c r="H44" s="10">
        <f>IF($AB44="","",IF(INDEX(기본자료!$F$2:$F$301,$AB44)="","",INDEX(기본자료!$F$2:$F$301,$AB44)))</f>
        <v/>
      </c>
      <c r="I44" s="11">
        <f>IF($AB44="","",IF(INDEX(기본자료!$G$2:$G$301,$AB44)="","",IF(NOT(ISNUMBER(INDEX(기본자료!$G$2:$G$301,$AB44))),INDEX(기본자료!$G$2:$G$301,$AB44),IF(INDEX(기본자료!$G$2:$G$301,$AB44)&lt;1000000,INDEX(기본자료!$G$2:$G$301,$AB44),IF(AND(INDEX(기본자료!$G$2:$G$301,$AB44)&gt;=10000101,INT(MOD(INDEX(기본자료!$G$2:$G$301,$AB44),10000)/100)&gt;=1,INT(MOD(INDEX(기본자료!$G$2:$G$301,$AB44),10000)/100)&lt;=12,MOD(INDEX(기본자료!$G$2:$G$301,$AB44),100)&gt;=1,MOD(INDEX(기본자료!$G$2:$G$301,$AB44),100)&lt;=31),DATE(INT(INDEX(기본자료!$G$2:$G$301,$AB44)/10000),INT(MOD(INDEX(기본자료!$G$2:$G$301,$AB44),10000)/100),MOD(INDEX(기본자료!$G$2:$G$301,$AB44),100)),INDEX(기본자료!$G$2:$G$301,$AB44)&amp;"")))))</f>
        <v/>
      </c>
      <c r="J44" s="10">
        <f>IF($AB44="","",IF(INDEX(기본자료!$H$2:$H$301,$AB44)="","",INDEX(기본자료!$H$2:$H$301,$AB44)))</f>
        <v/>
      </c>
      <c r="K44" s="10">
        <f>IF($AB44="","",IF(INDEX(기본자료!$I$2:$I$301,$AB44)="","",INDEX(기본자료!$I$2:$I$301,$AB44)))</f>
        <v/>
      </c>
      <c r="L44" s="10">
        <f>IF($AB44="","",IF(INDEX(기본자료!$A$2:$A$301,$AB44)="","",INDEX(기본자료!$A$2:$A$301,$AB44)))</f>
        <v/>
      </c>
      <c r="M44" s="15" t="n"/>
      <c r="N44" s="10">
        <f>IF($B44="","",IF(AND($U44="파견중",$Q44&lt;&gt;""),$Q44,IF(AND($AD44&lt;&gt;"",LEFT($AD44,1)&lt;&gt;"⚠"),LEFT($AD44,FIND(" ",$AD44)-1),IF($H44="","",IF(RIGHT($H44,2)="병원",$H44,$H44&amp;"병원")))))</f>
        <v/>
      </c>
      <c r="O44" s="10">
        <f>IF($B44="","",IF(AND($U44="파견중",$Q44&lt;&gt;""),IF($R44&lt;&gt;"",$R44,"파견과 미입력"),IF(AND($AD44&lt;&gt;"",LEFT($AD44,1)&lt;&gt;"⚠"),MID($AD44,FIND(" ",$AD44)+1,60),IF($F44="","",IF($F44="인턴","수련교육부(인턴)",$F44)))))</f>
        <v/>
      </c>
      <c r="P44" s="10">
        <f>IF($B44="","",IF($AK44&lt;&gt;"",IF(AND(TODAY()&gt;=INDEX(파견수련계획!$AB$4:$AB$83,$AK44),OR(NOT(ISNUMBER(INDEX(파견수련계획!$AC$4:$AC$83,$AK44))),TODAY()&lt;=INDEX(파견수련계획!$AC$4:$AC$83,$AK44))),"다기관",IF($AF44="","",INDEX(파견수련계획!$T$4:$T$83,$AF44))),IF($AF44="","",INDEX(파견수련계획!$T$4:$T$83,$AF44))))</f>
        <v/>
      </c>
      <c r="Q44" s="10">
        <f>IF($AF44="","",INDEX(파견수련계획!$S$4:$S$83,$AF44))</f>
        <v/>
      </c>
      <c r="R44" s="10">
        <f>IF($AF44="","",INDEX(파견수련계획!$U$4:$U$83,$AF44))</f>
        <v/>
      </c>
      <c r="S44" s="11">
        <f>IF($AF44="","",IF(INDEX(파견수련계획!$H$4:$H$83,$AF44)="","",INDEX(파견수련계획!$H$4:$H$83,$AF44)))</f>
        <v/>
      </c>
      <c r="T44" s="11">
        <f>IF($AF44="","",IF(INDEX(파견수련계획!$I$4:$I$83,$AF44)="","",INDEX(파견수련계획!$I$4:$I$83,$AF44)))</f>
        <v/>
      </c>
      <c r="U44" s="10">
        <f>IF($AF44="","",INDEX(파견수련계획!$X$4:$X$83,$AF44))</f>
        <v/>
      </c>
      <c r="V44" s="17">
        <f>IF($AF44="","",INDEX(파견수련계획!$V$4:$V$83,$AF44))</f>
        <v/>
      </c>
      <c r="W44" s="17">
        <f>IF(AND($U44="파견중",$T44&lt;&gt;""),$T44-TODAY(),"")</f>
        <v/>
      </c>
      <c r="X44" s="17">
        <f>IF(OR($B44="",TRIM($J44&amp;"")=""),"",SUMPRODUCT((파견수련계획!$Q$4:$Q$83=TRIM($J44&amp;""))*파견수련계획!$W$4:$W$83))</f>
        <v/>
      </c>
      <c r="Y44" s="10">
        <f>IF($B44="","",IF($AG44="","",IF(IF(TRIM($J44&amp;"")="",0,SUMPRODUCT((파견수련계획!$Q$4:$Q$83=TRIM($J44&amp;""))*파견수련계획!$AD$4:$AD$83))&gt;0,$AE44,IF(N($X44)&lt;=0,$AG44,IF($AH44+$AI44=DAY(EOMONTH(요약!$B$3,0)),IF(AND($AH44&gt;=요약!$E$3,$AI44&lt;요약!$E$3),"서울병원",IF(AND($AI44&gt;=요약!$E$3,$AH44&lt;요약!$E$3),"구리병원","⚠15일 판정불가(서울 "&amp;$AH44&amp;"일/구리 "&amp;$AI44&amp;"일)")),IF($AJ44="",$AE44,IF(INDEX(파견수련계획!$T$4:$T$83,$AJ44)="통합수련",INDEX(파견수련계획!$S$4:$S$83,$AJ44),$AE44)))))))</f>
        <v/>
      </c>
      <c r="Z44" s="19">
        <f>IF($B44="","",IF($AB44="","기본자료에 없는 사번",IF(COUNTIF($B$2:$B$61,$B44)&gt;1,"중복 사번",IF($AE44="","소속(입사장소) 입력",IF(IF(TRIM($J44&amp;"")="",0,SUMPRODUCT((파견수련계획!$Q$4:$Q$83=TRIM($J44&amp;""))*(파견수련계획!$AA$4:$AA$83&lt;&gt;"")))&gt;0,"파견수련계획 입력오류 확인",IF(LEFT($Y44,1)="⚠","서울·구리 15일 판정 불가(양쪽 모두 이상/미만)",IF(IF($AC44="",0,N(INDEX(인턴근무계획!$T$3:$T$62,$AC44)))&gt;0,"인턴계획 입력오류 확인",IF(AND($AC44&lt;&gt;"",$U44&lt;&gt;"파견중",$N44&lt;&gt;$AE44),"인턴 타지역 근무: 파견 여부 확인","정상"))))))))</f>
        <v/>
      </c>
      <c r="AA44" s="5" t="n"/>
      <c r="AB44" s="10">
        <f>IF($B44="","",IFERROR(MATCH($B44,기본자료!$B$2:$B$301,0),IFERROR(MATCH($B44&amp;"",기본자료!$B$2:$B$301,0),IFERROR(MATCH(VALUE($B44),기본자료!$B$2:$B$301,0),""))))</f>
        <v/>
      </c>
      <c r="AC44" s="10">
        <f>IF($B44="","",IFERROR(MATCH($B44,인턴근무계획!$D$3:$D$62,0),IFERROR(MATCH($B44&amp;"",인턴근무계획!$D$3:$D$62,0),IFERROR(MATCH(VALUE($B44),인턴근무계획!$D$3:$D$62,0),""))))</f>
        <v/>
      </c>
      <c r="AD44" s="10">
        <f>IF(OR($AC44="",인턴현황!$G$3=""),"",INDEX(인턴근무계획!$M$3:$R$62,$AC44,인턴현황!$G$3)&amp;"")</f>
        <v/>
      </c>
      <c r="AE44" s="10">
        <f>IF($B44="","",IF($M44&lt;&gt;"",$M44,IF($AF44&lt;&gt;"",IF(LEFT(INDEX(파견수련계획!$R$4:$R$83,$AF44),1)&lt;&gt;"⚠",INDEX(파견수련계획!$R$4:$R$83,$AF44),IF($H44="","",IF(RIGHT($H44,2)="병원",$H44,$H44&amp;"병원"))),IF($H44="","",IF(RIGHT($H44,2)="병원",$H44,$H44&amp;"병원")))))</f>
        <v/>
      </c>
      <c r="AF44" s="10">
        <f>IF(OR($B44="",TRIM($J44&amp;"")=""),"",IFERROR(MATCH(TRIM($J44&amp;"")&amp;"|파견중",파견수련계획!$Y$4:$Y$83,0),IFERROR(MATCH(TRIM($J44&amp;"")&amp;"|파견예정",파견수련계획!$Y$4:$Y$83,0),IFERROR(MATCH(TRIM($J44&amp;"")&amp;"|파견종료",파견수련계획!$Y$4:$Y$83,0),""))))</f>
        <v/>
      </c>
      <c r="AG44" s="10">
        <f>IF($B44="","",IF(AND(IF(OR($AC44="",인턴현황!$K$2=""),"",INDEX(인턴근무계획!$M$3:$R$62,$AC44,인턴현황!$K$2)&amp;"")&lt;&gt;"",LEFT(IF(OR($AC44="",인턴현황!$K$2=""),"",INDEX(인턴근무계획!$M$3:$R$62,$AC44,인턴현황!$K$2)&amp;""),1)&lt;&gt;"⚠"),LEFT(IF(OR($AC44="",인턴현황!$K$2=""),"",INDEX(인턴근무계획!$M$3:$R$62,$AC44,인턴현황!$K$2)&amp;""),FIND(" ",IF(OR($AC44="",인턴현황!$K$2=""),"",INDEX(인턴근무계획!$M$3:$R$62,$AC44,인턴현황!$K$2)&amp;""))-1),$AE44))</f>
        <v/>
      </c>
      <c r="AH44" s="17">
        <f>IF($B44="","",IF(TRIM($J44&amp;"")="",0,SUMPRODUCT((파견수련계획!$Q$4:$Q$83=TRIM($J44&amp;""))*(파견수련계획!$S$4:$S$83="서울병원")*파견수련계획!$W$4:$W$83))+IF($AG44="서울병원",MAX(0,DAY(EOMONTH(요약!$B$3,0))-N($X44)),0))</f>
        <v/>
      </c>
      <c r="AI44" s="17">
        <f>IF($B44="","",IF(TRIM($J44&amp;"")="",0,SUMPRODUCT((파견수련계획!$Q$4:$Q$83=TRIM($J44&amp;""))*(파견수련계획!$S$4:$S$83="구리병원")*파견수련계획!$W$4:$W$83))+IF($AG44="구리병원",MAX(0,DAY(EOMONTH(요약!$B$3,0))-N($X44)),0))</f>
        <v/>
      </c>
      <c r="AJ44" s="10">
        <f>IF(OR($B44="",TRIM($J44&amp;"")=""),"",IFERROR(MATCH(TRIM($J44&amp;"")&amp;"|월",파견수련계획!$Z$4:$Z$83,0),""))</f>
        <v/>
      </c>
      <c r="AK44" s="10">
        <f>IF(OR($B44="",TRIM($J44&amp;"")=""),"",IFERROR(MATCH(TRIM($J44&amp;"")&amp;"|다기관",파견수련계획!$AE$4:$AE$83,0),""))</f>
        <v/>
      </c>
      <c r="AL44" s="10">
        <f>IF($AK44="","","다기관 "&amp;TEXT(INDEX(파견수련계획!$AB$4:$AB$83,$AK44),"yyyy-mm-dd")&amp;"~"&amp;IF(ISNUMBER(INDEX(파견수련계획!$AC$4:$AC$83,$AK44)),TEXT(INDEX(파견수련계획!$AC$4:$AC$83,$AK44),"yyyy-mm-dd"),""))</f>
        <v/>
      </c>
    </row>
    <row r="45">
      <c r="A45" s="10">
        <f>IF(B45="","",ROW()-1)</f>
        <v/>
      </c>
      <c r="B45" s="18" t="n"/>
      <c r="C45" s="10">
        <f>IF($AB45="","",IF(INDEX(기본자료!$C$2:$C$301,$AB45)="","",INDEX(기본자료!$C$2:$C$301,$AB45)))</f>
        <v/>
      </c>
      <c r="D45" s="10">
        <f>IF($AB45="","",IF(INDEX(기본자료!$J$2:$J$301,$AB45)="","",INDEX(기본자료!$J$2:$J$301,$AB45)))</f>
        <v/>
      </c>
      <c r="E45" s="11">
        <f>IF($AB45="","",IF(INDEX(기본자료!$K$2:$K$301,$AB45)="","",IF(NOT(ISNUMBER(INDEX(기본자료!$K$2:$K$301,$AB45))),INDEX(기본자료!$K$2:$K$301,$AB45),IF(INDEX(기본자료!$K$2:$K$301,$AB45)&lt;1000000,INDEX(기본자료!$K$2:$K$301,$AB45),IF(AND(INDEX(기본자료!$K$2:$K$301,$AB45)&gt;=10000101,INT(MOD(INDEX(기본자료!$K$2:$K$301,$AB45),10000)/100)&gt;=1,INT(MOD(INDEX(기본자료!$K$2:$K$301,$AB45),10000)/100)&lt;=12,MOD(INDEX(기본자료!$K$2:$K$301,$AB45),100)&gt;=1,MOD(INDEX(기본자료!$K$2:$K$301,$AB45),100)&lt;=31),DATE(INT(INDEX(기본자료!$K$2:$K$301,$AB45)/10000),INT(MOD(INDEX(기본자료!$K$2:$K$301,$AB45),10000)/100),MOD(INDEX(기본자료!$K$2:$K$301,$AB45),100)),INDEX(기본자료!$K$2:$K$301,$AB45)&amp;"")))))</f>
        <v/>
      </c>
      <c r="F45" s="10">
        <f>IF($AB45="","",IF(INDEX(기본자료!$D$2:$D$301,$AB45)="","",INDEX(기본자료!$D$2:$D$301,$AB45)))</f>
        <v/>
      </c>
      <c r="G45" s="10">
        <f>IF($AB45="","",IF(INDEX(기본자료!$E$2:$E$301,$AB45)="","",INDEX(기본자료!$E$2:$E$301,$AB45)))</f>
        <v/>
      </c>
      <c r="H45" s="10">
        <f>IF($AB45="","",IF(INDEX(기본자료!$F$2:$F$301,$AB45)="","",INDEX(기본자료!$F$2:$F$301,$AB45)))</f>
        <v/>
      </c>
      <c r="I45" s="11">
        <f>IF($AB45="","",IF(INDEX(기본자료!$G$2:$G$301,$AB45)="","",IF(NOT(ISNUMBER(INDEX(기본자료!$G$2:$G$301,$AB45))),INDEX(기본자료!$G$2:$G$301,$AB45),IF(INDEX(기본자료!$G$2:$G$301,$AB45)&lt;1000000,INDEX(기본자료!$G$2:$G$301,$AB45),IF(AND(INDEX(기본자료!$G$2:$G$301,$AB45)&gt;=10000101,INT(MOD(INDEX(기본자료!$G$2:$G$301,$AB45),10000)/100)&gt;=1,INT(MOD(INDEX(기본자료!$G$2:$G$301,$AB45),10000)/100)&lt;=12,MOD(INDEX(기본자료!$G$2:$G$301,$AB45),100)&gt;=1,MOD(INDEX(기본자료!$G$2:$G$301,$AB45),100)&lt;=31),DATE(INT(INDEX(기본자료!$G$2:$G$301,$AB45)/10000),INT(MOD(INDEX(기본자료!$G$2:$G$301,$AB45),10000)/100),MOD(INDEX(기본자료!$G$2:$G$301,$AB45),100)),INDEX(기본자료!$G$2:$G$301,$AB45)&amp;"")))))</f>
        <v/>
      </c>
      <c r="J45" s="10">
        <f>IF($AB45="","",IF(INDEX(기본자료!$H$2:$H$301,$AB45)="","",INDEX(기본자료!$H$2:$H$301,$AB45)))</f>
        <v/>
      </c>
      <c r="K45" s="10">
        <f>IF($AB45="","",IF(INDEX(기본자료!$I$2:$I$301,$AB45)="","",INDEX(기본자료!$I$2:$I$301,$AB45)))</f>
        <v/>
      </c>
      <c r="L45" s="10">
        <f>IF($AB45="","",IF(INDEX(기본자료!$A$2:$A$301,$AB45)="","",INDEX(기본자료!$A$2:$A$301,$AB45)))</f>
        <v/>
      </c>
      <c r="M45" s="15" t="n"/>
      <c r="N45" s="10">
        <f>IF($B45="","",IF(AND($U45="파견중",$Q45&lt;&gt;""),$Q45,IF(AND($AD45&lt;&gt;"",LEFT($AD45,1)&lt;&gt;"⚠"),LEFT($AD45,FIND(" ",$AD45)-1),IF($H45="","",IF(RIGHT($H45,2)="병원",$H45,$H45&amp;"병원")))))</f>
        <v/>
      </c>
      <c r="O45" s="10">
        <f>IF($B45="","",IF(AND($U45="파견중",$Q45&lt;&gt;""),IF($R45&lt;&gt;"",$R45,"파견과 미입력"),IF(AND($AD45&lt;&gt;"",LEFT($AD45,1)&lt;&gt;"⚠"),MID($AD45,FIND(" ",$AD45)+1,60),IF($F45="","",IF($F45="인턴","수련교육부(인턴)",$F45)))))</f>
        <v/>
      </c>
      <c r="P45" s="10">
        <f>IF($B45="","",IF($AK45&lt;&gt;"",IF(AND(TODAY()&gt;=INDEX(파견수련계획!$AB$4:$AB$83,$AK45),OR(NOT(ISNUMBER(INDEX(파견수련계획!$AC$4:$AC$83,$AK45))),TODAY()&lt;=INDEX(파견수련계획!$AC$4:$AC$83,$AK45))),"다기관",IF($AF45="","",INDEX(파견수련계획!$T$4:$T$83,$AF45))),IF($AF45="","",INDEX(파견수련계획!$T$4:$T$83,$AF45))))</f>
        <v/>
      </c>
      <c r="Q45" s="10">
        <f>IF($AF45="","",INDEX(파견수련계획!$S$4:$S$83,$AF45))</f>
        <v/>
      </c>
      <c r="R45" s="10">
        <f>IF($AF45="","",INDEX(파견수련계획!$U$4:$U$83,$AF45))</f>
        <v/>
      </c>
      <c r="S45" s="11">
        <f>IF($AF45="","",IF(INDEX(파견수련계획!$H$4:$H$83,$AF45)="","",INDEX(파견수련계획!$H$4:$H$83,$AF45)))</f>
        <v/>
      </c>
      <c r="T45" s="11">
        <f>IF($AF45="","",IF(INDEX(파견수련계획!$I$4:$I$83,$AF45)="","",INDEX(파견수련계획!$I$4:$I$83,$AF45)))</f>
        <v/>
      </c>
      <c r="U45" s="10">
        <f>IF($AF45="","",INDEX(파견수련계획!$X$4:$X$83,$AF45))</f>
        <v/>
      </c>
      <c r="V45" s="17">
        <f>IF($AF45="","",INDEX(파견수련계획!$V$4:$V$83,$AF45))</f>
        <v/>
      </c>
      <c r="W45" s="17">
        <f>IF(AND($U45="파견중",$T45&lt;&gt;""),$T45-TODAY(),"")</f>
        <v/>
      </c>
      <c r="X45" s="17">
        <f>IF(OR($B45="",TRIM($J45&amp;"")=""),"",SUMPRODUCT((파견수련계획!$Q$4:$Q$83=TRIM($J45&amp;""))*파견수련계획!$W$4:$W$83))</f>
        <v/>
      </c>
      <c r="Y45" s="10">
        <f>IF($B45="","",IF($AG45="","",IF(IF(TRIM($J45&amp;"")="",0,SUMPRODUCT((파견수련계획!$Q$4:$Q$83=TRIM($J45&amp;""))*파견수련계획!$AD$4:$AD$83))&gt;0,$AE45,IF(N($X45)&lt;=0,$AG45,IF($AH45+$AI45=DAY(EOMONTH(요약!$B$3,0)),IF(AND($AH45&gt;=요약!$E$3,$AI45&lt;요약!$E$3),"서울병원",IF(AND($AI45&gt;=요약!$E$3,$AH45&lt;요약!$E$3),"구리병원","⚠15일 판정불가(서울 "&amp;$AH45&amp;"일/구리 "&amp;$AI45&amp;"일)")),IF($AJ45="",$AE45,IF(INDEX(파견수련계획!$T$4:$T$83,$AJ45)="통합수련",INDEX(파견수련계획!$S$4:$S$83,$AJ45),$AE45)))))))</f>
        <v/>
      </c>
      <c r="Z45" s="19">
        <f>IF($B45="","",IF($AB45="","기본자료에 없는 사번",IF(COUNTIF($B$2:$B$61,$B45)&gt;1,"중복 사번",IF($AE45="","소속(입사장소) 입력",IF(IF(TRIM($J45&amp;"")="",0,SUMPRODUCT((파견수련계획!$Q$4:$Q$83=TRIM($J45&amp;""))*(파견수련계획!$AA$4:$AA$83&lt;&gt;"")))&gt;0,"파견수련계획 입력오류 확인",IF(LEFT($Y45,1)="⚠","서울·구리 15일 판정 불가(양쪽 모두 이상/미만)",IF(IF($AC45="",0,N(INDEX(인턴근무계획!$T$3:$T$62,$AC45)))&gt;0,"인턴계획 입력오류 확인",IF(AND($AC45&lt;&gt;"",$U45&lt;&gt;"파견중",$N45&lt;&gt;$AE45),"인턴 타지역 근무: 파견 여부 확인","정상"))))))))</f>
        <v/>
      </c>
      <c r="AA45" s="5" t="n"/>
      <c r="AB45" s="10">
        <f>IF($B45="","",IFERROR(MATCH($B45,기본자료!$B$2:$B$301,0),IFERROR(MATCH($B45&amp;"",기본자료!$B$2:$B$301,0),IFERROR(MATCH(VALUE($B45),기본자료!$B$2:$B$301,0),""))))</f>
        <v/>
      </c>
      <c r="AC45" s="10">
        <f>IF($B45="","",IFERROR(MATCH($B45,인턴근무계획!$D$3:$D$62,0),IFERROR(MATCH($B45&amp;"",인턴근무계획!$D$3:$D$62,0),IFERROR(MATCH(VALUE($B45),인턴근무계획!$D$3:$D$62,0),""))))</f>
        <v/>
      </c>
      <c r="AD45" s="10">
        <f>IF(OR($AC45="",인턴현황!$G$3=""),"",INDEX(인턴근무계획!$M$3:$R$62,$AC45,인턴현황!$G$3)&amp;"")</f>
        <v/>
      </c>
      <c r="AE45" s="10">
        <f>IF($B45="","",IF($M45&lt;&gt;"",$M45,IF($AF45&lt;&gt;"",IF(LEFT(INDEX(파견수련계획!$R$4:$R$83,$AF45),1)&lt;&gt;"⚠",INDEX(파견수련계획!$R$4:$R$83,$AF45),IF($H45="","",IF(RIGHT($H45,2)="병원",$H45,$H45&amp;"병원"))),IF($H45="","",IF(RIGHT($H45,2)="병원",$H45,$H45&amp;"병원")))))</f>
        <v/>
      </c>
      <c r="AF45" s="10">
        <f>IF(OR($B45="",TRIM($J45&amp;"")=""),"",IFERROR(MATCH(TRIM($J45&amp;"")&amp;"|파견중",파견수련계획!$Y$4:$Y$83,0),IFERROR(MATCH(TRIM($J45&amp;"")&amp;"|파견예정",파견수련계획!$Y$4:$Y$83,0),IFERROR(MATCH(TRIM($J45&amp;"")&amp;"|파견종료",파견수련계획!$Y$4:$Y$83,0),""))))</f>
        <v/>
      </c>
      <c r="AG45" s="10">
        <f>IF($B45="","",IF(AND(IF(OR($AC45="",인턴현황!$K$2=""),"",INDEX(인턴근무계획!$M$3:$R$62,$AC45,인턴현황!$K$2)&amp;"")&lt;&gt;"",LEFT(IF(OR($AC45="",인턴현황!$K$2=""),"",INDEX(인턴근무계획!$M$3:$R$62,$AC45,인턴현황!$K$2)&amp;""),1)&lt;&gt;"⚠"),LEFT(IF(OR($AC45="",인턴현황!$K$2=""),"",INDEX(인턴근무계획!$M$3:$R$62,$AC45,인턴현황!$K$2)&amp;""),FIND(" ",IF(OR($AC45="",인턴현황!$K$2=""),"",INDEX(인턴근무계획!$M$3:$R$62,$AC45,인턴현황!$K$2)&amp;""))-1),$AE45))</f>
        <v/>
      </c>
      <c r="AH45" s="17">
        <f>IF($B45="","",IF(TRIM($J45&amp;"")="",0,SUMPRODUCT((파견수련계획!$Q$4:$Q$83=TRIM($J45&amp;""))*(파견수련계획!$S$4:$S$83="서울병원")*파견수련계획!$W$4:$W$83))+IF($AG45="서울병원",MAX(0,DAY(EOMONTH(요약!$B$3,0))-N($X45)),0))</f>
        <v/>
      </c>
      <c r="AI45" s="17">
        <f>IF($B45="","",IF(TRIM($J45&amp;"")="",0,SUMPRODUCT((파견수련계획!$Q$4:$Q$83=TRIM($J45&amp;""))*(파견수련계획!$S$4:$S$83="구리병원")*파견수련계획!$W$4:$W$83))+IF($AG45="구리병원",MAX(0,DAY(EOMONTH(요약!$B$3,0))-N($X45)),0))</f>
        <v/>
      </c>
      <c r="AJ45" s="10">
        <f>IF(OR($B45="",TRIM($J45&amp;"")=""),"",IFERROR(MATCH(TRIM($J45&amp;"")&amp;"|월",파견수련계획!$Z$4:$Z$83,0),""))</f>
        <v/>
      </c>
      <c r="AK45" s="10">
        <f>IF(OR($B45="",TRIM($J45&amp;"")=""),"",IFERROR(MATCH(TRIM($J45&amp;"")&amp;"|다기관",파견수련계획!$AE$4:$AE$83,0),""))</f>
        <v/>
      </c>
      <c r="AL45" s="10">
        <f>IF($AK45="","","다기관 "&amp;TEXT(INDEX(파견수련계획!$AB$4:$AB$83,$AK45),"yyyy-mm-dd")&amp;"~"&amp;IF(ISNUMBER(INDEX(파견수련계획!$AC$4:$AC$83,$AK45)),TEXT(INDEX(파견수련계획!$AC$4:$AC$83,$AK45),"yyyy-mm-dd"),""))</f>
        <v/>
      </c>
    </row>
    <row r="46">
      <c r="A46" s="10">
        <f>IF(B46="","",ROW()-1)</f>
        <v/>
      </c>
      <c r="B46" s="18" t="n"/>
      <c r="C46" s="10">
        <f>IF($AB46="","",IF(INDEX(기본자료!$C$2:$C$301,$AB46)="","",INDEX(기본자료!$C$2:$C$301,$AB46)))</f>
        <v/>
      </c>
      <c r="D46" s="10">
        <f>IF($AB46="","",IF(INDEX(기본자료!$J$2:$J$301,$AB46)="","",INDEX(기본자료!$J$2:$J$301,$AB46)))</f>
        <v/>
      </c>
      <c r="E46" s="11">
        <f>IF($AB46="","",IF(INDEX(기본자료!$K$2:$K$301,$AB46)="","",IF(NOT(ISNUMBER(INDEX(기본자료!$K$2:$K$301,$AB46))),INDEX(기본자료!$K$2:$K$301,$AB46),IF(INDEX(기본자료!$K$2:$K$301,$AB46)&lt;1000000,INDEX(기본자료!$K$2:$K$301,$AB46),IF(AND(INDEX(기본자료!$K$2:$K$301,$AB46)&gt;=10000101,INT(MOD(INDEX(기본자료!$K$2:$K$301,$AB46),10000)/100)&gt;=1,INT(MOD(INDEX(기본자료!$K$2:$K$301,$AB46),10000)/100)&lt;=12,MOD(INDEX(기본자료!$K$2:$K$301,$AB46),100)&gt;=1,MOD(INDEX(기본자료!$K$2:$K$301,$AB46),100)&lt;=31),DATE(INT(INDEX(기본자료!$K$2:$K$301,$AB46)/10000),INT(MOD(INDEX(기본자료!$K$2:$K$301,$AB46),10000)/100),MOD(INDEX(기본자료!$K$2:$K$301,$AB46),100)),INDEX(기본자료!$K$2:$K$301,$AB46)&amp;"")))))</f>
        <v/>
      </c>
      <c r="F46" s="10">
        <f>IF($AB46="","",IF(INDEX(기본자료!$D$2:$D$301,$AB46)="","",INDEX(기본자료!$D$2:$D$301,$AB46)))</f>
        <v/>
      </c>
      <c r="G46" s="10">
        <f>IF($AB46="","",IF(INDEX(기본자료!$E$2:$E$301,$AB46)="","",INDEX(기본자료!$E$2:$E$301,$AB46)))</f>
        <v/>
      </c>
      <c r="H46" s="10">
        <f>IF($AB46="","",IF(INDEX(기본자료!$F$2:$F$301,$AB46)="","",INDEX(기본자료!$F$2:$F$301,$AB46)))</f>
        <v/>
      </c>
      <c r="I46" s="11">
        <f>IF($AB46="","",IF(INDEX(기본자료!$G$2:$G$301,$AB46)="","",IF(NOT(ISNUMBER(INDEX(기본자료!$G$2:$G$301,$AB46))),INDEX(기본자료!$G$2:$G$301,$AB46),IF(INDEX(기본자료!$G$2:$G$301,$AB46)&lt;1000000,INDEX(기본자료!$G$2:$G$301,$AB46),IF(AND(INDEX(기본자료!$G$2:$G$301,$AB46)&gt;=10000101,INT(MOD(INDEX(기본자료!$G$2:$G$301,$AB46),10000)/100)&gt;=1,INT(MOD(INDEX(기본자료!$G$2:$G$301,$AB46),10000)/100)&lt;=12,MOD(INDEX(기본자료!$G$2:$G$301,$AB46),100)&gt;=1,MOD(INDEX(기본자료!$G$2:$G$301,$AB46),100)&lt;=31),DATE(INT(INDEX(기본자료!$G$2:$G$301,$AB46)/10000),INT(MOD(INDEX(기본자료!$G$2:$G$301,$AB46),10000)/100),MOD(INDEX(기본자료!$G$2:$G$301,$AB46),100)),INDEX(기본자료!$G$2:$G$301,$AB46)&amp;"")))))</f>
        <v/>
      </c>
      <c r="J46" s="10">
        <f>IF($AB46="","",IF(INDEX(기본자료!$H$2:$H$301,$AB46)="","",INDEX(기본자료!$H$2:$H$301,$AB46)))</f>
        <v/>
      </c>
      <c r="K46" s="10">
        <f>IF($AB46="","",IF(INDEX(기본자료!$I$2:$I$301,$AB46)="","",INDEX(기본자료!$I$2:$I$301,$AB46)))</f>
        <v/>
      </c>
      <c r="L46" s="10">
        <f>IF($AB46="","",IF(INDEX(기본자료!$A$2:$A$301,$AB46)="","",INDEX(기본자료!$A$2:$A$301,$AB46)))</f>
        <v/>
      </c>
      <c r="M46" s="15" t="n"/>
      <c r="N46" s="10">
        <f>IF($B46="","",IF(AND($U46="파견중",$Q46&lt;&gt;""),$Q46,IF(AND($AD46&lt;&gt;"",LEFT($AD46,1)&lt;&gt;"⚠"),LEFT($AD46,FIND(" ",$AD46)-1),IF($H46="","",IF(RIGHT($H46,2)="병원",$H46,$H46&amp;"병원")))))</f>
        <v/>
      </c>
      <c r="O46" s="10">
        <f>IF($B46="","",IF(AND($U46="파견중",$Q46&lt;&gt;""),IF($R46&lt;&gt;"",$R46,"파견과 미입력"),IF(AND($AD46&lt;&gt;"",LEFT($AD46,1)&lt;&gt;"⚠"),MID($AD46,FIND(" ",$AD46)+1,60),IF($F46="","",IF($F46="인턴","수련교육부(인턴)",$F46)))))</f>
        <v/>
      </c>
      <c r="P46" s="10">
        <f>IF($B46="","",IF($AK46&lt;&gt;"",IF(AND(TODAY()&gt;=INDEX(파견수련계획!$AB$4:$AB$83,$AK46),OR(NOT(ISNUMBER(INDEX(파견수련계획!$AC$4:$AC$83,$AK46))),TODAY()&lt;=INDEX(파견수련계획!$AC$4:$AC$83,$AK46))),"다기관",IF($AF46="","",INDEX(파견수련계획!$T$4:$T$83,$AF46))),IF($AF46="","",INDEX(파견수련계획!$T$4:$T$83,$AF46))))</f>
        <v/>
      </c>
      <c r="Q46" s="10">
        <f>IF($AF46="","",INDEX(파견수련계획!$S$4:$S$83,$AF46))</f>
        <v/>
      </c>
      <c r="R46" s="10">
        <f>IF($AF46="","",INDEX(파견수련계획!$U$4:$U$83,$AF46))</f>
        <v/>
      </c>
      <c r="S46" s="11">
        <f>IF($AF46="","",IF(INDEX(파견수련계획!$H$4:$H$83,$AF46)="","",INDEX(파견수련계획!$H$4:$H$83,$AF46)))</f>
        <v/>
      </c>
      <c r="T46" s="11">
        <f>IF($AF46="","",IF(INDEX(파견수련계획!$I$4:$I$83,$AF46)="","",INDEX(파견수련계획!$I$4:$I$83,$AF46)))</f>
        <v/>
      </c>
      <c r="U46" s="10">
        <f>IF($AF46="","",INDEX(파견수련계획!$X$4:$X$83,$AF46))</f>
        <v/>
      </c>
      <c r="V46" s="17">
        <f>IF($AF46="","",INDEX(파견수련계획!$V$4:$V$83,$AF46))</f>
        <v/>
      </c>
      <c r="W46" s="17">
        <f>IF(AND($U46="파견중",$T46&lt;&gt;""),$T46-TODAY(),"")</f>
        <v/>
      </c>
      <c r="X46" s="17">
        <f>IF(OR($B46="",TRIM($J46&amp;"")=""),"",SUMPRODUCT((파견수련계획!$Q$4:$Q$83=TRIM($J46&amp;""))*파견수련계획!$W$4:$W$83))</f>
        <v/>
      </c>
      <c r="Y46" s="10">
        <f>IF($B46="","",IF($AG46="","",IF(IF(TRIM($J46&amp;"")="",0,SUMPRODUCT((파견수련계획!$Q$4:$Q$83=TRIM($J46&amp;""))*파견수련계획!$AD$4:$AD$83))&gt;0,$AE46,IF(N($X46)&lt;=0,$AG46,IF($AH46+$AI46=DAY(EOMONTH(요약!$B$3,0)),IF(AND($AH46&gt;=요약!$E$3,$AI46&lt;요약!$E$3),"서울병원",IF(AND($AI46&gt;=요약!$E$3,$AH46&lt;요약!$E$3),"구리병원","⚠15일 판정불가(서울 "&amp;$AH46&amp;"일/구리 "&amp;$AI46&amp;"일)")),IF($AJ46="",$AE46,IF(INDEX(파견수련계획!$T$4:$T$83,$AJ46)="통합수련",INDEX(파견수련계획!$S$4:$S$83,$AJ46),$AE46)))))))</f>
        <v/>
      </c>
      <c r="Z46" s="19">
        <f>IF($B46="","",IF($AB46="","기본자료에 없는 사번",IF(COUNTIF($B$2:$B$61,$B46)&gt;1,"중복 사번",IF($AE46="","소속(입사장소) 입력",IF(IF(TRIM($J46&amp;"")="",0,SUMPRODUCT((파견수련계획!$Q$4:$Q$83=TRIM($J46&amp;""))*(파견수련계획!$AA$4:$AA$83&lt;&gt;"")))&gt;0,"파견수련계획 입력오류 확인",IF(LEFT($Y46,1)="⚠","서울·구리 15일 판정 불가(양쪽 모두 이상/미만)",IF(IF($AC46="",0,N(INDEX(인턴근무계획!$T$3:$T$62,$AC46)))&gt;0,"인턴계획 입력오류 확인",IF(AND($AC46&lt;&gt;"",$U46&lt;&gt;"파견중",$N46&lt;&gt;$AE46),"인턴 타지역 근무: 파견 여부 확인","정상"))))))))</f>
        <v/>
      </c>
      <c r="AA46" s="5" t="n"/>
      <c r="AB46" s="10">
        <f>IF($B46="","",IFERROR(MATCH($B46,기본자료!$B$2:$B$301,0),IFERROR(MATCH($B46&amp;"",기본자료!$B$2:$B$301,0),IFERROR(MATCH(VALUE($B46),기본자료!$B$2:$B$301,0),""))))</f>
        <v/>
      </c>
      <c r="AC46" s="10">
        <f>IF($B46="","",IFERROR(MATCH($B46,인턴근무계획!$D$3:$D$62,0),IFERROR(MATCH($B46&amp;"",인턴근무계획!$D$3:$D$62,0),IFERROR(MATCH(VALUE($B46),인턴근무계획!$D$3:$D$62,0),""))))</f>
        <v/>
      </c>
      <c r="AD46" s="10">
        <f>IF(OR($AC46="",인턴현황!$G$3=""),"",INDEX(인턴근무계획!$M$3:$R$62,$AC46,인턴현황!$G$3)&amp;"")</f>
        <v/>
      </c>
      <c r="AE46" s="10">
        <f>IF($B46="","",IF($M46&lt;&gt;"",$M46,IF($AF46&lt;&gt;"",IF(LEFT(INDEX(파견수련계획!$R$4:$R$83,$AF46),1)&lt;&gt;"⚠",INDEX(파견수련계획!$R$4:$R$83,$AF46),IF($H46="","",IF(RIGHT($H46,2)="병원",$H46,$H46&amp;"병원"))),IF($H46="","",IF(RIGHT($H46,2)="병원",$H46,$H46&amp;"병원")))))</f>
        <v/>
      </c>
      <c r="AF46" s="10">
        <f>IF(OR($B46="",TRIM($J46&amp;"")=""),"",IFERROR(MATCH(TRIM($J46&amp;"")&amp;"|파견중",파견수련계획!$Y$4:$Y$83,0),IFERROR(MATCH(TRIM($J46&amp;"")&amp;"|파견예정",파견수련계획!$Y$4:$Y$83,0),IFERROR(MATCH(TRIM($J46&amp;"")&amp;"|파견종료",파견수련계획!$Y$4:$Y$83,0),""))))</f>
        <v/>
      </c>
      <c r="AG46" s="10">
        <f>IF($B46="","",IF(AND(IF(OR($AC46="",인턴현황!$K$2=""),"",INDEX(인턴근무계획!$M$3:$R$62,$AC46,인턴현황!$K$2)&amp;"")&lt;&gt;"",LEFT(IF(OR($AC46="",인턴현황!$K$2=""),"",INDEX(인턴근무계획!$M$3:$R$62,$AC46,인턴현황!$K$2)&amp;""),1)&lt;&gt;"⚠"),LEFT(IF(OR($AC46="",인턴현황!$K$2=""),"",INDEX(인턴근무계획!$M$3:$R$62,$AC46,인턴현황!$K$2)&amp;""),FIND(" ",IF(OR($AC46="",인턴현황!$K$2=""),"",INDEX(인턴근무계획!$M$3:$R$62,$AC46,인턴현황!$K$2)&amp;""))-1),$AE46))</f>
        <v/>
      </c>
      <c r="AH46" s="17">
        <f>IF($B46="","",IF(TRIM($J46&amp;"")="",0,SUMPRODUCT((파견수련계획!$Q$4:$Q$83=TRIM($J46&amp;""))*(파견수련계획!$S$4:$S$83="서울병원")*파견수련계획!$W$4:$W$83))+IF($AG46="서울병원",MAX(0,DAY(EOMONTH(요약!$B$3,0))-N($X46)),0))</f>
        <v/>
      </c>
      <c r="AI46" s="17">
        <f>IF($B46="","",IF(TRIM($J46&amp;"")="",0,SUMPRODUCT((파견수련계획!$Q$4:$Q$83=TRIM($J46&amp;""))*(파견수련계획!$S$4:$S$83="구리병원")*파견수련계획!$W$4:$W$83))+IF($AG46="구리병원",MAX(0,DAY(EOMONTH(요약!$B$3,0))-N($X46)),0))</f>
        <v/>
      </c>
      <c r="AJ46" s="10">
        <f>IF(OR($B46="",TRIM($J46&amp;"")=""),"",IFERROR(MATCH(TRIM($J46&amp;"")&amp;"|월",파견수련계획!$Z$4:$Z$83,0),""))</f>
        <v/>
      </c>
      <c r="AK46" s="10">
        <f>IF(OR($B46="",TRIM($J46&amp;"")=""),"",IFERROR(MATCH(TRIM($J46&amp;"")&amp;"|다기관",파견수련계획!$AE$4:$AE$83,0),""))</f>
        <v/>
      </c>
      <c r="AL46" s="10">
        <f>IF($AK46="","","다기관 "&amp;TEXT(INDEX(파견수련계획!$AB$4:$AB$83,$AK46),"yyyy-mm-dd")&amp;"~"&amp;IF(ISNUMBER(INDEX(파견수련계획!$AC$4:$AC$83,$AK46)),TEXT(INDEX(파견수련계획!$AC$4:$AC$83,$AK46),"yyyy-mm-dd"),""))</f>
        <v/>
      </c>
    </row>
    <row r="47">
      <c r="A47" s="10">
        <f>IF(B47="","",ROW()-1)</f>
        <v/>
      </c>
      <c r="B47" s="18" t="n"/>
      <c r="C47" s="10">
        <f>IF($AB47="","",IF(INDEX(기본자료!$C$2:$C$301,$AB47)="","",INDEX(기본자료!$C$2:$C$301,$AB47)))</f>
        <v/>
      </c>
      <c r="D47" s="10">
        <f>IF($AB47="","",IF(INDEX(기본자료!$J$2:$J$301,$AB47)="","",INDEX(기본자료!$J$2:$J$301,$AB47)))</f>
        <v/>
      </c>
      <c r="E47" s="11">
        <f>IF($AB47="","",IF(INDEX(기본자료!$K$2:$K$301,$AB47)="","",IF(NOT(ISNUMBER(INDEX(기본자료!$K$2:$K$301,$AB47))),INDEX(기본자료!$K$2:$K$301,$AB47),IF(INDEX(기본자료!$K$2:$K$301,$AB47)&lt;1000000,INDEX(기본자료!$K$2:$K$301,$AB47),IF(AND(INDEX(기본자료!$K$2:$K$301,$AB47)&gt;=10000101,INT(MOD(INDEX(기본자료!$K$2:$K$301,$AB47),10000)/100)&gt;=1,INT(MOD(INDEX(기본자료!$K$2:$K$301,$AB47),10000)/100)&lt;=12,MOD(INDEX(기본자료!$K$2:$K$301,$AB47),100)&gt;=1,MOD(INDEX(기본자료!$K$2:$K$301,$AB47),100)&lt;=31),DATE(INT(INDEX(기본자료!$K$2:$K$301,$AB47)/10000),INT(MOD(INDEX(기본자료!$K$2:$K$301,$AB47),10000)/100),MOD(INDEX(기본자료!$K$2:$K$301,$AB47),100)),INDEX(기본자료!$K$2:$K$301,$AB47)&amp;"")))))</f>
        <v/>
      </c>
      <c r="F47" s="10">
        <f>IF($AB47="","",IF(INDEX(기본자료!$D$2:$D$301,$AB47)="","",INDEX(기본자료!$D$2:$D$301,$AB47)))</f>
        <v/>
      </c>
      <c r="G47" s="10">
        <f>IF($AB47="","",IF(INDEX(기본자료!$E$2:$E$301,$AB47)="","",INDEX(기본자료!$E$2:$E$301,$AB47)))</f>
        <v/>
      </c>
      <c r="H47" s="10">
        <f>IF($AB47="","",IF(INDEX(기본자료!$F$2:$F$301,$AB47)="","",INDEX(기본자료!$F$2:$F$301,$AB47)))</f>
        <v/>
      </c>
      <c r="I47" s="11">
        <f>IF($AB47="","",IF(INDEX(기본자료!$G$2:$G$301,$AB47)="","",IF(NOT(ISNUMBER(INDEX(기본자료!$G$2:$G$301,$AB47))),INDEX(기본자료!$G$2:$G$301,$AB47),IF(INDEX(기본자료!$G$2:$G$301,$AB47)&lt;1000000,INDEX(기본자료!$G$2:$G$301,$AB47),IF(AND(INDEX(기본자료!$G$2:$G$301,$AB47)&gt;=10000101,INT(MOD(INDEX(기본자료!$G$2:$G$301,$AB47),10000)/100)&gt;=1,INT(MOD(INDEX(기본자료!$G$2:$G$301,$AB47),10000)/100)&lt;=12,MOD(INDEX(기본자료!$G$2:$G$301,$AB47),100)&gt;=1,MOD(INDEX(기본자료!$G$2:$G$301,$AB47),100)&lt;=31),DATE(INT(INDEX(기본자료!$G$2:$G$301,$AB47)/10000),INT(MOD(INDEX(기본자료!$G$2:$G$301,$AB47),10000)/100),MOD(INDEX(기본자료!$G$2:$G$301,$AB47),100)),INDEX(기본자료!$G$2:$G$301,$AB47)&amp;"")))))</f>
        <v/>
      </c>
      <c r="J47" s="10">
        <f>IF($AB47="","",IF(INDEX(기본자료!$H$2:$H$301,$AB47)="","",INDEX(기본자료!$H$2:$H$301,$AB47)))</f>
        <v/>
      </c>
      <c r="K47" s="10">
        <f>IF($AB47="","",IF(INDEX(기본자료!$I$2:$I$301,$AB47)="","",INDEX(기본자료!$I$2:$I$301,$AB47)))</f>
        <v/>
      </c>
      <c r="L47" s="10">
        <f>IF($AB47="","",IF(INDEX(기본자료!$A$2:$A$301,$AB47)="","",INDEX(기본자료!$A$2:$A$301,$AB47)))</f>
        <v/>
      </c>
      <c r="M47" s="15" t="n"/>
      <c r="N47" s="10">
        <f>IF($B47="","",IF(AND($U47="파견중",$Q47&lt;&gt;""),$Q47,IF(AND($AD47&lt;&gt;"",LEFT($AD47,1)&lt;&gt;"⚠"),LEFT($AD47,FIND(" ",$AD47)-1),IF($H47="","",IF(RIGHT($H47,2)="병원",$H47,$H47&amp;"병원")))))</f>
        <v/>
      </c>
      <c r="O47" s="10">
        <f>IF($B47="","",IF(AND($U47="파견중",$Q47&lt;&gt;""),IF($R47&lt;&gt;"",$R47,"파견과 미입력"),IF(AND($AD47&lt;&gt;"",LEFT($AD47,1)&lt;&gt;"⚠"),MID($AD47,FIND(" ",$AD47)+1,60),IF($F47="","",IF($F47="인턴","수련교육부(인턴)",$F47)))))</f>
        <v/>
      </c>
      <c r="P47" s="10">
        <f>IF($B47="","",IF($AK47&lt;&gt;"",IF(AND(TODAY()&gt;=INDEX(파견수련계획!$AB$4:$AB$83,$AK47),OR(NOT(ISNUMBER(INDEX(파견수련계획!$AC$4:$AC$83,$AK47))),TODAY()&lt;=INDEX(파견수련계획!$AC$4:$AC$83,$AK47))),"다기관",IF($AF47="","",INDEX(파견수련계획!$T$4:$T$83,$AF47))),IF($AF47="","",INDEX(파견수련계획!$T$4:$T$83,$AF47))))</f>
        <v/>
      </c>
      <c r="Q47" s="10">
        <f>IF($AF47="","",INDEX(파견수련계획!$S$4:$S$83,$AF47))</f>
        <v/>
      </c>
      <c r="R47" s="10">
        <f>IF($AF47="","",INDEX(파견수련계획!$U$4:$U$83,$AF47))</f>
        <v/>
      </c>
      <c r="S47" s="11">
        <f>IF($AF47="","",IF(INDEX(파견수련계획!$H$4:$H$83,$AF47)="","",INDEX(파견수련계획!$H$4:$H$83,$AF47)))</f>
        <v/>
      </c>
      <c r="T47" s="11">
        <f>IF($AF47="","",IF(INDEX(파견수련계획!$I$4:$I$83,$AF47)="","",INDEX(파견수련계획!$I$4:$I$83,$AF47)))</f>
        <v/>
      </c>
      <c r="U47" s="10">
        <f>IF($AF47="","",INDEX(파견수련계획!$X$4:$X$83,$AF47))</f>
        <v/>
      </c>
      <c r="V47" s="17">
        <f>IF($AF47="","",INDEX(파견수련계획!$V$4:$V$83,$AF47))</f>
        <v/>
      </c>
      <c r="W47" s="17">
        <f>IF(AND($U47="파견중",$T47&lt;&gt;""),$T47-TODAY(),"")</f>
        <v/>
      </c>
      <c r="X47" s="17">
        <f>IF(OR($B47="",TRIM($J47&amp;"")=""),"",SUMPRODUCT((파견수련계획!$Q$4:$Q$83=TRIM($J47&amp;""))*파견수련계획!$W$4:$W$83))</f>
        <v/>
      </c>
      <c r="Y47" s="10">
        <f>IF($B47="","",IF($AG47="","",IF(IF(TRIM($J47&amp;"")="",0,SUMPRODUCT((파견수련계획!$Q$4:$Q$83=TRIM($J47&amp;""))*파견수련계획!$AD$4:$AD$83))&gt;0,$AE47,IF(N($X47)&lt;=0,$AG47,IF($AH47+$AI47=DAY(EOMONTH(요약!$B$3,0)),IF(AND($AH47&gt;=요약!$E$3,$AI47&lt;요약!$E$3),"서울병원",IF(AND($AI47&gt;=요약!$E$3,$AH47&lt;요약!$E$3),"구리병원","⚠15일 판정불가(서울 "&amp;$AH47&amp;"일/구리 "&amp;$AI47&amp;"일)")),IF($AJ47="",$AE47,IF(INDEX(파견수련계획!$T$4:$T$83,$AJ47)="통합수련",INDEX(파견수련계획!$S$4:$S$83,$AJ47),$AE47)))))))</f>
        <v/>
      </c>
      <c r="Z47" s="19">
        <f>IF($B47="","",IF($AB47="","기본자료에 없는 사번",IF(COUNTIF($B$2:$B$61,$B47)&gt;1,"중복 사번",IF($AE47="","소속(입사장소) 입력",IF(IF(TRIM($J47&amp;"")="",0,SUMPRODUCT((파견수련계획!$Q$4:$Q$83=TRIM($J47&amp;""))*(파견수련계획!$AA$4:$AA$83&lt;&gt;"")))&gt;0,"파견수련계획 입력오류 확인",IF(LEFT($Y47,1)="⚠","서울·구리 15일 판정 불가(양쪽 모두 이상/미만)",IF(IF($AC47="",0,N(INDEX(인턴근무계획!$T$3:$T$62,$AC47)))&gt;0,"인턴계획 입력오류 확인",IF(AND($AC47&lt;&gt;"",$U47&lt;&gt;"파견중",$N47&lt;&gt;$AE47),"인턴 타지역 근무: 파견 여부 확인","정상"))))))))</f>
        <v/>
      </c>
      <c r="AA47" s="5" t="n"/>
      <c r="AB47" s="10">
        <f>IF($B47="","",IFERROR(MATCH($B47,기본자료!$B$2:$B$301,0),IFERROR(MATCH($B47&amp;"",기본자료!$B$2:$B$301,0),IFERROR(MATCH(VALUE($B47),기본자료!$B$2:$B$301,0),""))))</f>
        <v/>
      </c>
      <c r="AC47" s="10">
        <f>IF($B47="","",IFERROR(MATCH($B47,인턴근무계획!$D$3:$D$62,0),IFERROR(MATCH($B47&amp;"",인턴근무계획!$D$3:$D$62,0),IFERROR(MATCH(VALUE($B47),인턴근무계획!$D$3:$D$62,0),""))))</f>
        <v/>
      </c>
      <c r="AD47" s="10">
        <f>IF(OR($AC47="",인턴현황!$G$3=""),"",INDEX(인턴근무계획!$M$3:$R$62,$AC47,인턴현황!$G$3)&amp;"")</f>
        <v/>
      </c>
      <c r="AE47" s="10">
        <f>IF($B47="","",IF($M47&lt;&gt;"",$M47,IF($AF47&lt;&gt;"",IF(LEFT(INDEX(파견수련계획!$R$4:$R$83,$AF47),1)&lt;&gt;"⚠",INDEX(파견수련계획!$R$4:$R$83,$AF47),IF($H47="","",IF(RIGHT($H47,2)="병원",$H47,$H47&amp;"병원"))),IF($H47="","",IF(RIGHT($H47,2)="병원",$H47,$H47&amp;"병원")))))</f>
        <v/>
      </c>
      <c r="AF47" s="10">
        <f>IF(OR($B47="",TRIM($J47&amp;"")=""),"",IFERROR(MATCH(TRIM($J47&amp;"")&amp;"|파견중",파견수련계획!$Y$4:$Y$83,0),IFERROR(MATCH(TRIM($J47&amp;"")&amp;"|파견예정",파견수련계획!$Y$4:$Y$83,0),IFERROR(MATCH(TRIM($J47&amp;"")&amp;"|파견종료",파견수련계획!$Y$4:$Y$83,0),""))))</f>
        <v/>
      </c>
      <c r="AG47" s="10">
        <f>IF($B47="","",IF(AND(IF(OR($AC47="",인턴현황!$K$2=""),"",INDEX(인턴근무계획!$M$3:$R$62,$AC47,인턴현황!$K$2)&amp;"")&lt;&gt;"",LEFT(IF(OR($AC47="",인턴현황!$K$2=""),"",INDEX(인턴근무계획!$M$3:$R$62,$AC47,인턴현황!$K$2)&amp;""),1)&lt;&gt;"⚠"),LEFT(IF(OR($AC47="",인턴현황!$K$2=""),"",INDEX(인턴근무계획!$M$3:$R$62,$AC47,인턴현황!$K$2)&amp;""),FIND(" ",IF(OR($AC47="",인턴현황!$K$2=""),"",INDEX(인턴근무계획!$M$3:$R$62,$AC47,인턴현황!$K$2)&amp;""))-1),$AE47))</f>
        <v/>
      </c>
      <c r="AH47" s="17">
        <f>IF($B47="","",IF(TRIM($J47&amp;"")="",0,SUMPRODUCT((파견수련계획!$Q$4:$Q$83=TRIM($J47&amp;""))*(파견수련계획!$S$4:$S$83="서울병원")*파견수련계획!$W$4:$W$83))+IF($AG47="서울병원",MAX(0,DAY(EOMONTH(요약!$B$3,0))-N($X47)),0))</f>
        <v/>
      </c>
      <c r="AI47" s="17">
        <f>IF($B47="","",IF(TRIM($J47&amp;"")="",0,SUMPRODUCT((파견수련계획!$Q$4:$Q$83=TRIM($J47&amp;""))*(파견수련계획!$S$4:$S$83="구리병원")*파견수련계획!$W$4:$W$83))+IF($AG47="구리병원",MAX(0,DAY(EOMONTH(요약!$B$3,0))-N($X47)),0))</f>
        <v/>
      </c>
      <c r="AJ47" s="10">
        <f>IF(OR($B47="",TRIM($J47&amp;"")=""),"",IFERROR(MATCH(TRIM($J47&amp;"")&amp;"|월",파견수련계획!$Z$4:$Z$83,0),""))</f>
        <v/>
      </c>
      <c r="AK47" s="10">
        <f>IF(OR($B47="",TRIM($J47&amp;"")=""),"",IFERROR(MATCH(TRIM($J47&amp;"")&amp;"|다기관",파견수련계획!$AE$4:$AE$83,0),""))</f>
        <v/>
      </c>
      <c r="AL47" s="10">
        <f>IF($AK47="","","다기관 "&amp;TEXT(INDEX(파견수련계획!$AB$4:$AB$83,$AK47),"yyyy-mm-dd")&amp;"~"&amp;IF(ISNUMBER(INDEX(파견수련계획!$AC$4:$AC$83,$AK47)),TEXT(INDEX(파견수련계획!$AC$4:$AC$83,$AK47),"yyyy-mm-dd"),""))</f>
        <v/>
      </c>
    </row>
    <row r="48">
      <c r="A48" s="10">
        <f>IF(B48="","",ROW()-1)</f>
        <v/>
      </c>
      <c r="B48" s="18" t="n"/>
      <c r="C48" s="10">
        <f>IF($AB48="","",IF(INDEX(기본자료!$C$2:$C$301,$AB48)="","",INDEX(기본자료!$C$2:$C$301,$AB48)))</f>
        <v/>
      </c>
      <c r="D48" s="10">
        <f>IF($AB48="","",IF(INDEX(기본자료!$J$2:$J$301,$AB48)="","",INDEX(기본자료!$J$2:$J$301,$AB48)))</f>
        <v/>
      </c>
      <c r="E48" s="11">
        <f>IF($AB48="","",IF(INDEX(기본자료!$K$2:$K$301,$AB48)="","",IF(NOT(ISNUMBER(INDEX(기본자료!$K$2:$K$301,$AB48))),INDEX(기본자료!$K$2:$K$301,$AB48),IF(INDEX(기본자료!$K$2:$K$301,$AB48)&lt;1000000,INDEX(기본자료!$K$2:$K$301,$AB48),IF(AND(INDEX(기본자료!$K$2:$K$301,$AB48)&gt;=10000101,INT(MOD(INDEX(기본자료!$K$2:$K$301,$AB48),10000)/100)&gt;=1,INT(MOD(INDEX(기본자료!$K$2:$K$301,$AB48),10000)/100)&lt;=12,MOD(INDEX(기본자료!$K$2:$K$301,$AB48),100)&gt;=1,MOD(INDEX(기본자료!$K$2:$K$301,$AB48),100)&lt;=31),DATE(INT(INDEX(기본자료!$K$2:$K$301,$AB48)/10000),INT(MOD(INDEX(기본자료!$K$2:$K$301,$AB48),10000)/100),MOD(INDEX(기본자료!$K$2:$K$301,$AB48),100)),INDEX(기본자료!$K$2:$K$301,$AB48)&amp;"")))))</f>
        <v/>
      </c>
      <c r="F48" s="10">
        <f>IF($AB48="","",IF(INDEX(기본자료!$D$2:$D$301,$AB48)="","",INDEX(기본자료!$D$2:$D$301,$AB48)))</f>
        <v/>
      </c>
      <c r="G48" s="10">
        <f>IF($AB48="","",IF(INDEX(기본자료!$E$2:$E$301,$AB48)="","",INDEX(기본자료!$E$2:$E$301,$AB48)))</f>
        <v/>
      </c>
      <c r="H48" s="10">
        <f>IF($AB48="","",IF(INDEX(기본자료!$F$2:$F$301,$AB48)="","",INDEX(기본자료!$F$2:$F$301,$AB48)))</f>
        <v/>
      </c>
      <c r="I48" s="11">
        <f>IF($AB48="","",IF(INDEX(기본자료!$G$2:$G$301,$AB48)="","",IF(NOT(ISNUMBER(INDEX(기본자료!$G$2:$G$301,$AB48))),INDEX(기본자료!$G$2:$G$301,$AB48),IF(INDEX(기본자료!$G$2:$G$301,$AB48)&lt;1000000,INDEX(기본자료!$G$2:$G$301,$AB48),IF(AND(INDEX(기본자료!$G$2:$G$301,$AB48)&gt;=10000101,INT(MOD(INDEX(기본자료!$G$2:$G$301,$AB48),10000)/100)&gt;=1,INT(MOD(INDEX(기본자료!$G$2:$G$301,$AB48),10000)/100)&lt;=12,MOD(INDEX(기본자료!$G$2:$G$301,$AB48),100)&gt;=1,MOD(INDEX(기본자료!$G$2:$G$301,$AB48),100)&lt;=31),DATE(INT(INDEX(기본자료!$G$2:$G$301,$AB48)/10000),INT(MOD(INDEX(기본자료!$G$2:$G$301,$AB48),10000)/100),MOD(INDEX(기본자료!$G$2:$G$301,$AB48),100)),INDEX(기본자료!$G$2:$G$301,$AB48)&amp;"")))))</f>
        <v/>
      </c>
      <c r="J48" s="10">
        <f>IF($AB48="","",IF(INDEX(기본자료!$H$2:$H$301,$AB48)="","",INDEX(기본자료!$H$2:$H$301,$AB48)))</f>
        <v/>
      </c>
      <c r="K48" s="10">
        <f>IF($AB48="","",IF(INDEX(기본자료!$I$2:$I$301,$AB48)="","",INDEX(기본자료!$I$2:$I$301,$AB48)))</f>
        <v/>
      </c>
      <c r="L48" s="10">
        <f>IF($AB48="","",IF(INDEX(기본자료!$A$2:$A$301,$AB48)="","",INDEX(기본자료!$A$2:$A$301,$AB48)))</f>
        <v/>
      </c>
      <c r="M48" s="15" t="n"/>
      <c r="N48" s="10">
        <f>IF($B48="","",IF(AND($U48="파견중",$Q48&lt;&gt;""),$Q48,IF(AND($AD48&lt;&gt;"",LEFT($AD48,1)&lt;&gt;"⚠"),LEFT($AD48,FIND(" ",$AD48)-1),IF($H48="","",IF(RIGHT($H48,2)="병원",$H48,$H48&amp;"병원")))))</f>
        <v/>
      </c>
      <c r="O48" s="10">
        <f>IF($B48="","",IF(AND($U48="파견중",$Q48&lt;&gt;""),IF($R48&lt;&gt;"",$R48,"파견과 미입력"),IF(AND($AD48&lt;&gt;"",LEFT($AD48,1)&lt;&gt;"⚠"),MID($AD48,FIND(" ",$AD48)+1,60),IF($F48="","",IF($F48="인턴","수련교육부(인턴)",$F48)))))</f>
        <v/>
      </c>
      <c r="P48" s="10">
        <f>IF($B48="","",IF($AK48&lt;&gt;"",IF(AND(TODAY()&gt;=INDEX(파견수련계획!$AB$4:$AB$83,$AK48),OR(NOT(ISNUMBER(INDEX(파견수련계획!$AC$4:$AC$83,$AK48))),TODAY()&lt;=INDEX(파견수련계획!$AC$4:$AC$83,$AK48))),"다기관",IF($AF48="","",INDEX(파견수련계획!$T$4:$T$83,$AF48))),IF($AF48="","",INDEX(파견수련계획!$T$4:$T$83,$AF48))))</f>
        <v/>
      </c>
      <c r="Q48" s="10">
        <f>IF($AF48="","",INDEX(파견수련계획!$S$4:$S$83,$AF48))</f>
        <v/>
      </c>
      <c r="R48" s="10">
        <f>IF($AF48="","",INDEX(파견수련계획!$U$4:$U$83,$AF48))</f>
        <v/>
      </c>
      <c r="S48" s="11">
        <f>IF($AF48="","",IF(INDEX(파견수련계획!$H$4:$H$83,$AF48)="","",INDEX(파견수련계획!$H$4:$H$83,$AF48)))</f>
        <v/>
      </c>
      <c r="T48" s="11">
        <f>IF($AF48="","",IF(INDEX(파견수련계획!$I$4:$I$83,$AF48)="","",INDEX(파견수련계획!$I$4:$I$83,$AF48)))</f>
        <v/>
      </c>
      <c r="U48" s="10">
        <f>IF($AF48="","",INDEX(파견수련계획!$X$4:$X$83,$AF48))</f>
        <v/>
      </c>
      <c r="V48" s="17">
        <f>IF($AF48="","",INDEX(파견수련계획!$V$4:$V$83,$AF48))</f>
        <v/>
      </c>
      <c r="W48" s="17">
        <f>IF(AND($U48="파견중",$T48&lt;&gt;""),$T48-TODAY(),"")</f>
        <v/>
      </c>
      <c r="X48" s="17">
        <f>IF(OR($B48="",TRIM($J48&amp;"")=""),"",SUMPRODUCT((파견수련계획!$Q$4:$Q$83=TRIM($J48&amp;""))*파견수련계획!$W$4:$W$83))</f>
        <v/>
      </c>
      <c r="Y48" s="10">
        <f>IF($B48="","",IF($AG48="","",IF(IF(TRIM($J48&amp;"")="",0,SUMPRODUCT((파견수련계획!$Q$4:$Q$83=TRIM($J48&amp;""))*파견수련계획!$AD$4:$AD$83))&gt;0,$AE48,IF(N($X48)&lt;=0,$AG48,IF($AH48+$AI48=DAY(EOMONTH(요약!$B$3,0)),IF(AND($AH48&gt;=요약!$E$3,$AI48&lt;요약!$E$3),"서울병원",IF(AND($AI48&gt;=요약!$E$3,$AH48&lt;요약!$E$3),"구리병원","⚠15일 판정불가(서울 "&amp;$AH48&amp;"일/구리 "&amp;$AI48&amp;"일)")),IF($AJ48="",$AE48,IF(INDEX(파견수련계획!$T$4:$T$83,$AJ48)="통합수련",INDEX(파견수련계획!$S$4:$S$83,$AJ48),$AE48)))))))</f>
        <v/>
      </c>
      <c r="Z48" s="19">
        <f>IF($B48="","",IF($AB48="","기본자료에 없는 사번",IF(COUNTIF($B$2:$B$61,$B48)&gt;1,"중복 사번",IF($AE48="","소속(입사장소) 입력",IF(IF(TRIM($J48&amp;"")="",0,SUMPRODUCT((파견수련계획!$Q$4:$Q$83=TRIM($J48&amp;""))*(파견수련계획!$AA$4:$AA$83&lt;&gt;"")))&gt;0,"파견수련계획 입력오류 확인",IF(LEFT($Y48,1)="⚠","서울·구리 15일 판정 불가(양쪽 모두 이상/미만)",IF(IF($AC48="",0,N(INDEX(인턴근무계획!$T$3:$T$62,$AC48)))&gt;0,"인턴계획 입력오류 확인",IF(AND($AC48&lt;&gt;"",$U48&lt;&gt;"파견중",$N48&lt;&gt;$AE48),"인턴 타지역 근무: 파견 여부 확인","정상"))))))))</f>
        <v/>
      </c>
      <c r="AA48" s="5" t="n"/>
      <c r="AB48" s="10">
        <f>IF($B48="","",IFERROR(MATCH($B48,기본자료!$B$2:$B$301,0),IFERROR(MATCH($B48&amp;"",기본자료!$B$2:$B$301,0),IFERROR(MATCH(VALUE($B48),기본자료!$B$2:$B$301,0),""))))</f>
        <v/>
      </c>
      <c r="AC48" s="10">
        <f>IF($B48="","",IFERROR(MATCH($B48,인턴근무계획!$D$3:$D$62,0),IFERROR(MATCH($B48&amp;"",인턴근무계획!$D$3:$D$62,0),IFERROR(MATCH(VALUE($B48),인턴근무계획!$D$3:$D$62,0),""))))</f>
        <v/>
      </c>
      <c r="AD48" s="10">
        <f>IF(OR($AC48="",인턴현황!$G$3=""),"",INDEX(인턴근무계획!$M$3:$R$62,$AC48,인턴현황!$G$3)&amp;"")</f>
        <v/>
      </c>
      <c r="AE48" s="10">
        <f>IF($B48="","",IF($M48&lt;&gt;"",$M48,IF($AF48&lt;&gt;"",IF(LEFT(INDEX(파견수련계획!$R$4:$R$83,$AF48),1)&lt;&gt;"⚠",INDEX(파견수련계획!$R$4:$R$83,$AF48),IF($H48="","",IF(RIGHT($H48,2)="병원",$H48,$H48&amp;"병원"))),IF($H48="","",IF(RIGHT($H48,2)="병원",$H48,$H48&amp;"병원")))))</f>
        <v/>
      </c>
      <c r="AF48" s="10">
        <f>IF(OR($B48="",TRIM($J48&amp;"")=""),"",IFERROR(MATCH(TRIM($J48&amp;"")&amp;"|파견중",파견수련계획!$Y$4:$Y$83,0),IFERROR(MATCH(TRIM($J48&amp;"")&amp;"|파견예정",파견수련계획!$Y$4:$Y$83,0),IFERROR(MATCH(TRIM($J48&amp;"")&amp;"|파견종료",파견수련계획!$Y$4:$Y$83,0),""))))</f>
        <v/>
      </c>
      <c r="AG48" s="10">
        <f>IF($B48="","",IF(AND(IF(OR($AC48="",인턴현황!$K$2=""),"",INDEX(인턴근무계획!$M$3:$R$62,$AC48,인턴현황!$K$2)&amp;"")&lt;&gt;"",LEFT(IF(OR($AC48="",인턴현황!$K$2=""),"",INDEX(인턴근무계획!$M$3:$R$62,$AC48,인턴현황!$K$2)&amp;""),1)&lt;&gt;"⚠"),LEFT(IF(OR($AC48="",인턴현황!$K$2=""),"",INDEX(인턴근무계획!$M$3:$R$62,$AC48,인턴현황!$K$2)&amp;""),FIND(" ",IF(OR($AC48="",인턴현황!$K$2=""),"",INDEX(인턴근무계획!$M$3:$R$62,$AC48,인턴현황!$K$2)&amp;""))-1),$AE48))</f>
        <v/>
      </c>
      <c r="AH48" s="17">
        <f>IF($B48="","",IF(TRIM($J48&amp;"")="",0,SUMPRODUCT((파견수련계획!$Q$4:$Q$83=TRIM($J48&amp;""))*(파견수련계획!$S$4:$S$83="서울병원")*파견수련계획!$W$4:$W$83))+IF($AG48="서울병원",MAX(0,DAY(EOMONTH(요약!$B$3,0))-N($X48)),0))</f>
        <v/>
      </c>
      <c r="AI48" s="17">
        <f>IF($B48="","",IF(TRIM($J48&amp;"")="",0,SUMPRODUCT((파견수련계획!$Q$4:$Q$83=TRIM($J48&amp;""))*(파견수련계획!$S$4:$S$83="구리병원")*파견수련계획!$W$4:$W$83))+IF($AG48="구리병원",MAX(0,DAY(EOMONTH(요약!$B$3,0))-N($X48)),0))</f>
        <v/>
      </c>
      <c r="AJ48" s="10">
        <f>IF(OR($B48="",TRIM($J48&amp;"")=""),"",IFERROR(MATCH(TRIM($J48&amp;"")&amp;"|월",파견수련계획!$Z$4:$Z$83,0),""))</f>
        <v/>
      </c>
      <c r="AK48" s="10">
        <f>IF(OR($B48="",TRIM($J48&amp;"")=""),"",IFERROR(MATCH(TRIM($J48&amp;"")&amp;"|다기관",파견수련계획!$AE$4:$AE$83,0),""))</f>
        <v/>
      </c>
      <c r="AL48" s="10">
        <f>IF($AK48="","","다기관 "&amp;TEXT(INDEX(파견수련계획!$AB$4:$AB$83,$AK48),"yyyy-mm-dd")&amp;"~"&amp;IF(ISNUMBER(INDEX(파견수련계획!$AC$4:$AC$83,$AK48)),TEXT(INDEX(파견수련계획!$AC$4:$AC$83,$AK48),"yyyy-mm-dd"),""))</f>
        <v/>
      </c>
    </row>
    <row r="49">
      <c r="A49" s="10">
        <f>IF(B49="","",ROW()-1)</f>
        <v/>
      </c>
      <c r="B49" s="18" t="n"/>
      <c r="C49" s="10">
        <f>IF($AB49="","",IF(INDEX(기본자료!$C$2:$C$301,$AB49)="","",INDEX(기본자료!$C$2:$C$301,$AB49)))</f>
        <v/>
      </c>
      <c r="D49" s="10">
        <f>IF($AB49="","",IF(INDEX(기본자료!$J$2:$J$301,$AB49)="","",INDEX(기본자료!$J$2:$J$301,$AB49)))</f>
        <v/>
      </c>
      <c r="E49" s="11">
        <f>IF($AB49="","",IF(INDEX(기본자료!$K$2:$K$301,$AB49)="","",IF(NOT(ISNUMBER(INDEX(기본자료!$K$2:$K$301,$AB49))),INDEX(기본자료!$K$2:$K$301,$AB49),IF(INDEX(기본자료!$K$2:$K$301,$AB49)&lt;1000000,INDEX(기본자료!$K$2:$K$301,$AB49),IF(AND(INDEX(기본자료!$K$2:$K$301,$AB49)&gt;=10000101,INT(MOD(INDEX(기본자료!$K$2:$K$301,$AB49),10000)/100)&gt;=1,INT(MOD(INDEX(기본자료!$K$2:$K$301,$AB49),10000)/100)&lt;=12,MOD(INDEX(기본자료!$K$2:$K$301,$AB49),100)&gt;=1,MOD(INDEX(기본자료!$K$2:$K$301,$AB49),100)&lt;=31),DATE(INT(INDEX(기본자료!$K$2:$K$301,$AB49)/10000),INT(MOD(INDEX(기본자료!$K$2:$K$301,$AB49),10000)/100),MOD(INDEX(기본자료!$K$2:$K$301,$AB49),100)),INDEX(기본자료!$K$2:$K$301,$AB49)&amp;"")))))</f>
        <v/>
      </c>
      <c r="F49" s="10">
        <f>IF($AB49="","",IF(INDEX(기본자료!$D$2:$D$301,$AB49)="","",INDEX(기본자료!$D$2:$D$301,$AB49)))</f>
        <v/>
      </c>
      <c r="G49" s="10">
        <f>IF($AB49="","",IF(INDEX(기본자료!$E$2:$E$301,$AB49)="","",INDEX(기본자료!$E$2:$E$301,$AB49)))</f>
        <v/>
      </c>
      <c r="H49" s="10">
        <f>IF($AB49="","",IF(INDEX(기본자료!$F$2:$F$301,$AB49)="","",INDEX(기본자료!$F$2:$F$301,$AB49)))</f>
        <v/>
      </c>
      <c r="I49" s="11">
        <f>IF($AB49="","",IF(INDEX(기본자료!$G$2:$G$301,$AB49)="","",IF(NOT(ISNUMBER(INDEX(기본자료!$G$2:$G$301,$AB49))),INDEX(기본자료!$G$2:$G$301,$AB49),IF(INDEX(기본자료!$G$2:$G$301,$AB49)&lt;1000000,INDEX(기본자료!$G$2:$G$301,$AB49),IF(AND(INDEX(기본자료!$G$2:$G$301,$AB49)&gt;=10000101,INT(MOD(INDEX(기본자료!$G$2:$G$301,$AB49),10000)/100)&gt;=1,INT(MOD(INDEX(기본자료!$G$2:$G$301,$AB49),10000)/100)&lt;=12,MOD(INDEX(기본자료!$G$2:$G$301,$AB49),100)&gt;=1,MOD(INDEX(기본자료!$G$2:$G$301,$AB49),100)&lt;=31),DATE(INT(INDEX(기본자료!$G$2:$G$301,$AB49)/10000),INT(MOD(INDEX(기본자료!$G$2:$G$301,$AB49),10000)/100),MOD(INDEX(기본자료!$G$2:$G$301,$AB49),100)),INDEX(기본자료!$G$2:$G$301,$AB49)&amp;"")))))</f>
        <v/>
      </c>
      <c r="J49" s="10">
        <f>IF($AB49="","",IF(INDEX(기본자료!$H$2:$H$301,$AB49)="","",INDEX(기본자료!$H$2:$H$301,$AB49)))</f>
        <v/>
      </c>
      <c r="K49" s="10">
        <f>IF($AB49="","",IF(INDEX(기본자료!$I$2:$I$301,$AB49)="","",INDEX(기본자료!$I$2:$I$301,$AB49)))</f>
        <v/>
      </c>
      <c r="L49" s="10">
        <f>IF($AB49="","",IF(INDEX(기본자료!$A$2:$A$301,$AB49)="","",INDEX(기본자료!$A$2:$A$301,$AB49)))</f>
        <v/>
      </c>
      <c r="M49" s="15" t="n"/>
      <c r="N49" s="10">
        <f>IF($B49="","",IF(AND($U49="파견중",$Q49&lt;&gt;""),$Q49,IF(AND($AD49&lt;&gt;"",LEFT($AD49,1)&lt;&gt;"⚠"),LEFT($AD49,FIND(" ",$AD49)-1),IF($H49="","",IF(RIGHT($H49,2)="병원",$H49,$H49&amp;"병원")))))</f>
        <v/>
      </c>
      <c r="O49" s="10">
        <f>IF($B49="","",IF(AND($U49="파견중",$Q49&lt;&gt;""),IF($R49&lt;&gt;"",$R49,"파견과 미입력"),IF(AND($AD49&lt;&gt;"",LEFT($AD49,1)&lt;&gt;"⚠"),MID($AD49,FIND(" ",$AD49)+1,60),IF($F49="","",IF($F49="인턴","수련교육부(인턴)",$F49)))))</f>
        <v/>
      </c>
      <c r="P49" s="10">
        <f>IF($B49="","",IF($AK49&lt;&gt;"",IF(AND(TODAY()&gt;=INDEX(파견수련계획!$AB$4:$AB$83,$AK49),OR(NOT(ISNUMBER(INDEX(파견수련계획!$AC$4:$AC$83,$AK49))),TODAY()&lt;=INDEX(파견수련계획!$AC$4:$AC$83,$AK49))),"다기관",IF($AF49="","",INDEX(파견수련계획!$T$4:$T$83,$AF49))),IF($AF49="","",INDEX(파견수련계획!$T$4:$T$83,$AF49))))</f>
        <v/>
      </c>
      <c r="Q49" s="10">
        <f>IF($AF49="","",INDEX(파견수련계획!$S$4:$S$83,$AF49))</f>
        <v/>
      </c>
      <c r="R49" s="10">
        <f>IF($AF49="","",INDEX(파견수련계획!$U$4:$U$83,$AF49))</f>
        <v/>
      </c>
      <c r="S49" s="11">
        <f>IF($AF49="","",IF(INDEX(파견수련계획!$H$4:$H$83,$AF49)="","",INDEX(파견수련계획!$H$4:$H$83,$AF49)))</f>
        <v/>
      </c>
      <c r="T49" s="11">
        <f>IF($AF49="","",IF(INDEX(파견수련계획!$I$4:$I$83,$AF49)="","",INDEX(파견수련계획!$I$4:$I$83,$AF49)))</f>
        <v/>
      </c>
      <c r="U49" s="10">
        <f>IF($AF49="","",INDEX(파견수련계획!$X$4:$X$83,$AF49))</f>
        <v/>
      </c>
      <c r="V49" s="17">
        <f>IF($AF49="","",INDEX(파견수련계획!$V$4:$V$83,$AF49))</f>
        <v/>
      </c>
      <c r="W49" s="17">
        <f>IF(AND($U49="파견중",$T49&lt;&gt;""),$T49-TODAY(),"")</f>
        <v/>
      </c>
      <c r="X49" s="17">
        <f>IF(OR($B49="",TRIM($J49&amp;"")=""),"",SUMPRODUCT((파견수련계획!$Q$4:$Q$83=TRIM($J49&amp;""))*파견수련계획!$W$4:$W$83))</f>
        <v/>
      </c>
      <c r="Y49" s="10">
        <f>IF($B49="","",IF($AG49="","",IF(IF(TRIM($J49&amp;"")="",0,SUMPRODUCT((파견수련계획!$Q$4:$Q$83=TRIM($J49&amp;""))*파견수련계획!$AD$4:$AD$83))&gt;0,$AE49,IF(N($X49)&lt;=0,$AG49,IF($AH49+$AI49=DAY(EOMONTH(요약!$B$3,0)),IF(AND($AH49&gt;=요약!$E$3,$AI49&lt;요약!$E$3),"서울병원",IF(AND($AI49&gt;=요약!$E$3,$AH49&lt;요약!$E$3),"구리병원","⚠15일 판정불가(서울 "&amp;$AH49&amp;"일/구리 "&amp;$AI49&amp;"일)")),IF($AJ49="",$AE49,IF(INDEX(파견수련계획!$T$4:$T$83,$AJ49)="통합수련",INDEX(파견수련계획!$S$4:$S$83,$AJ49),$AE49)))))))</f>
        <v/>
      </c>
      <c r="Z49" s="19">
        <f>IF($B49="","",IF($AB49="","기본자료에 없는 사번",IF(COUNTIF($B$2:$B$61,$B49)&gt;1,"중복 사번",IF($AE49="","소속(입사장소) 입력",IF(IF(TRIM($J49&amp;"")="",0,SUMPRODUCT((파견수련계획!$Q$4:$Q$83=TRIM($J49&amp;""))*(파견수련계획!$AA$4:$AA$83&lt;&gt;"")))&gt;0,"파견수련계획 입력오류 확인",IF(LEFT($Y49,1)="⚠","서울·구리 15일 판정 불가(양쪽 모두 이상/미만)",IF(IF($AC49="",0,N(INDEX(인턴근무계획!$T$3:$T$62,$AC49)))&gt;0,"인턴계획 입력오류 확인",IF(AND($AC49&lt;&gt;"",$U49&lt;&gt;"파견중",$N49&lt;&gt;$AE49),"인턴 타지역 근무: 파견 여부 확인","정상"))))))))</f>
        <v/>
      </c>
      <c r="AA49" s="5" t="n"/>
      <c r="AB49" s="10">
        <f>IF($B49="","",IFERROR(MATCH($B49,기본자료!$B$2:$B$301,0),IFERROR(MATCH($B49&amp;"",기본자료!$B$2:$B$301,0),IFERROR(MATCH(VALUE($B49),기본자료!$B$2:$B$301,0),""))))</f>
        <v/>
      </c>
      <c r="AC49" s="10">
        <f>IF($B49="","",IFERROR(MATCH($B49,인턴근무계획!$D$3:$D$62,0),IFERROR(MATCH($B49&amp;"",인턴근무계획!$D$3:$D$62,0),IFERROR(MATCH(VALUE($B49),인턴근무계획!$D$3:$D$62,0),""))))</f>
        <v/>
      </c>
      <c r="AD49" s="10">
        <f>IF(OR($AC49="",인턴현황!$G$3=""),"",INDEX(인턴근무계획!$M$3:$R$62,$AC49,인턴현황!$G$3)&amp;"")</f>
        <v/>
      </c>
      <c r="AE49" s="10">
        <f>IF($B49="","",IF($M49&lt;&gt;"",$M49,IF($AF49&lt;&gt;"",IF(LEFT(INDEX(파견수련계획!$R$4:$R$83,$AF49),1)&lt;&gt;"⚠",INDEX(파견수련계획!$R$4:$R$83,$AF49),IF($H49="","",IF(RIGHT($H49,2)="병원",$H49,$H49&amp;"병원"))),IF($H49="","",IF(RIGHT($H49,2)="병원",$H49,$H49&amp;"병원")))))</f>
        <v/>
      </c>
      <c r="AF49" s="10">
        <f>IF(OR($B49="",TRIM($J49&amp;"")=""),"",IFERROR(MATCH(TRIM($J49&amp;"")&amp;"|파견중",파견수련계획!$Y$4:$Y$83,0),IFERROR(MATCH(TRIM($J49&amp;"")&amp;"|파견예정",파견수련계획!$Y$4:$Y$83,0),IFERROR(MATCH(TRIM($J49&amp;"")&amp;"|파견종료",파견수련계획!$Y$4:$Y$83,0),""))))</f>
        <v/>
      </c>
      <c r="AG49" s="10">
        <f>IF($B49="","",IF(AND(IF(OR($AC49="",인턴현황!$K$2=""),"",INDEX(인턴근무계획!$M$3:$R$62,$AC49,인턴현황!$K$2)&amp;"")&lt;&gt;"",LEFT(IF(OR($AC49="",인턴현황!$K$2=""),"",INDEX(인턴근무계획!$M$3:$R$62,$AC49,인턴현황!$K$2)&amp;""),1)&lt;&gt;"⚠"),LEFT(IF(OR($AC49="",인턴현황!$K$2=""),"",INDEX(인턴근무계획!$M$3:$R$62,$AC49,인턴현황!$K$2)&amp;""),FIND(" ",IF(OR($AC49="",인턴현황!$K$2=""),"",INDEX(인턴근무계획!$M$3:$R$62,$AC49,인턴현황!$K$2)&amp;""))-1),$AE49))</f>
        <v/>
      </c>
      <c r="AH49" s="17">
        <f>IF($B49="","",IF(TRIM($J49&amp;"")="",0,SUMPRODUCT((파견수련계획!$Q$4:$Q$83=TRIM($J49&amp;""))*(파견수련계획!$S$4:$S$83="서울병원")*파견수련계획!$W$4:$W$83))+IF($AG49="서울병원",MAX(0,DAY(EOMONTH(요약!$B$3,0))-N($X49)),0))</f>
        <v/>
      </c>
      <c r="AI49" s="17">
        <f>IF($B49="","",IF(TRIM($J49&amp;"")="",0,SUMPRODUCT((파견수련계획!$Q$4:$Q$83=TRIM($J49&amp;""))*(파견수련계획!$S$4:$S$83="구리병원")*파견수련계획!$W$4:$W$83))+IF($AG49="구리병원",MAX(0,DAY(EOMONTH(요약!$B$3,0))-N($X49)),0))</f>
        <v/>
      </c>
      <c r="AJ49" s="10">
        <f>IF(OR($B49="",TRIM($J49&amp;"")=""),"",IFERROR(MATCH(TRIM($J49&amp;"")&amp;"|월",파견수련계획!$Z$4:$Z$83,0),""))</f>
        <v/>
      </c>
      <c r="AK49" s="10">
        <f>IF(OR($B49="",TRIM($J49&amp;"")=""),"",IFERROR(MATCH(TRIM($J49&amp;"")&amp;"|다기관",파견수련계획!$AE$4:$AE$83,0),""))</f>
        <v/>
      </c>
      <c r="AL49" s="10">
        <f>IF($AK49="","","다기관 "&amp;TEXT(INDEX(파견수련계획!$AB$4:$AB$83,$AK49),"yyyy-mm-dd")&amp;"~"&amp;IF(ISNUMBER(INDEX(파견수련계획!$AC$4:$AC$83,$AK49)),TEXT(INDEX(파견수련계획!$AC$4:$AC$83,$AK49),"yyyy-mm-dd"),""))</f>
        <v/>
      </c>
    </row>
    <row r="50">
      <c r="A50" s="10">
        <f>IF(B50="","",ROW()-1)</f>
        <v/>
      </c>
      <c r="B50" s="18" t="n"/>
      <c r="C50" s="10">
        <f>IF($AB50="","",IF(INDEX(기본자료!$C$2:$C$301,$AB50)="","",INDEX(기본자료!$C$2:$C$301,$AB50)))</f>
        <v/>
      </c>
      <c r="D50" s="10">
        <f>IF($AB50="","",IF(INDEX(기본자료!$J$2:$J$301,$AB50)="","",INDEX(기본자료!$J$2:$J$301,$AB50)))</f>
        <v/>
      </c>
      <c r="E50" s="11">
        <f>IF($AB50="","",IF(INDEX(기본자료!$K$2:$K$301,$AB50)="","",IF(NOT(ISNUMBER(INDEX(기본자료!$K$2:$K$301,$AB50))),INDEX(기본자료!$K$2:$K$301,$AB50),IF(INDEX(기본자료!$K$2:$K$301,$AB50)&lt;1000000,INDEX(기본자료!$K$2:$K$301,$AB50),IF(AND(INDEX(기본자료!$K$2:$K$301,$AB50)&gt;=10000101,INT(MOD(INDEX(기본자료!$K$2:$K$301,$AB50),10000)/100)&gt;=1,INT(MOD(INDEX(기본자료!$K$2:$K$301,$AB50),10000)/100)&lt;=12,MOD(INDEX(기본자료!$K$2:$K$301,$AB50),100)&gt;=1,MOD(INDEX(기본자료!$K$2:$K$301,$AB50),100)&lt;=31),DATE(INT(INDEX(기본자료!$K$2:$K$301,$AB50)/10000),INT(MOD(INDEX(기본자료!$K$2:$K$301,$AB50),10000)/100),MOD(INDEX(기본자료!$K$2:$K$301,$AB50),100)),INDEX(기본자료!$K$2:$K$301,$AB50)&amp;"")))))</f>
        <v/>
      </c>
      <c r="F50" s="10">
        <f>IF($AB50="","",IF(INDEX(기본자료!$D$2:$D$301,$AB50)="","",INDEX(기본자료!$D$2:$D$301,$AB50)))</f>
        <v/>
      </c>
      <c r="G50" s="10">
        <f>IF($AB50="","",IF(INDEX(기본자료!$E$2:$E$301,$AB50)="","",INDEX(기본자료!$E$2:$E$301,$AB50)))</f>
        <v/>
      </c>
      <c r="H50" s="10">
        <f>IF($AB50="","",IF(INDEX(기본자료!$F$2:$F$301,$AB50)="","",INDEX(기본자료!$F$2:$F$301,$AB50)))</f>
        <v/>
      </c>
      <c r="I50" s="11">
        <f>IF($AB50="","",IF(INDEX(기본자료!$G$2:$G$301,$AB50)="","",IF(NOT(ISNUMBER(INDEX(기본자료!$G$2:$G$301,$AB50))),INDEX(기본자료!$G$2:$G$301,$AB50),IF(INDEX(기본자료!$G$2:$G$301,$AB50)&lt;1000000,INDEX(기본자료!$G$2:$G$301,$AB50),IF(AND(INDEX(기본자료!$G$2:$G$301,$AB50)&gt;=10000101,INT(MOD(INDEX(기본자료!$G$2:$G$301,$AB50),10000)/100)&gt;=1,INT(MOD(INDEX(기본자료!$G$2:$G$301,$AB50),10000)/100)&lt;=12,MOD(INDEX(기본자료!$G$2:$G$301,$AB50),100)&gt;=1,MOD(INDEX(기본자료!$G$2:$G$301,$AB50),100)&lt;=31),DATE(INT(INDEX(기본자료!$G$2:$G$301,$AB50)/10000),INT(MOD(INDEX(기본자료!$G$2:$G$301,$AB50),10000)/100),MOD(INDEX(기본자료!$G$2:$G$301,$AB50),100)),INDEX(기본자료!$G$2:$G$301,$AB50)&amp;"")))))</f>
        <v/>
      </c>
      <c r="J50" s="10">
        <f>IF($AB50="","",IF(INDEX(기본자료!$H$2:$H$301,$AB50)="","",INDEX(기본자료!$H$2:$H$301,$AB50)))</f>
        <v/>
      </c>
      <c r="K50" s="10">
        <f>IF($AB50="","",IF(INDEX(기본자료!$I$2:$I$301,$AB50)="","",INDEX(기본자료!$I$2:$I$301,$AB50)))</f>
        <v/>
      </c>
      <c r="L50" s="10">
        <f>IF($AB50="","",IF(INDEX(기본자료!$A$2:$A$301,$AB50)="","",INDEX(기본자료!$A$2:$A$301,$AB50)))</f>
        <v/>
      </c>
      <c r="M50" s="15" t="n"/>
      <c r="N50" s="10">
        <f>IF($B50="","",IF(AND($U50="파견중",$Q50&lt;&gt;""),$Q50,IF(AND($AD50&lt;&gt;"",LEFT($AD50,1)&lt;&gt;"⚠"),LEFT($AD50,FIND(" ",$AD50)-1),IF($H50="","",IF(RIGHT($H50,2)="병원",$H50,$H50&amp;"병원")))))</f>
        <v/>
      </c>
      <c r="O50" s="10">
        <f>IF($B50="","",IF(AND($U50="파견중",$Q50&lt;&gt;""),IF($R50&lt;&gt;"",$R50,"파견과 미입력"),IF(AND($AD50&lt;&gt;"",LEFT($AD50,1)&lt;&gt;"⚠"),MID($AD50,FIND(" ",$AD50)+1,60),IF($F50="","",IF($F50="인턴","수련교육부(인턴)",$F50)))))</f>
        <v/>
      </c>
      <c r="P50" s="10">
        <f>IF($B50="","",IF($AK50&lt;&gt;"",IF(AND(TODAY()&gt;=INDEX(파견수련계획!$AB$4:$AB$83,$AK50),OR(NOT(ISNUMBER(INDEX(파견수련계획!$AC$4:$AC$83,$AK50))),TODAY()&lt;=INDEX(파견수련계획!$AC$4:$AC$83,$AK50))),"다기관",IF($AF50="","",INDEX(파견수련계획!$T$4:$T$83,$AF50))),IF($AF50="","",INDEX(파견수련계획!$T$4:$T$83,$AF50))))</f>
        <v/>
      </c>
      <c r="Q50" s="10">
        <f>IF($AF50="","",INDEX(파견수련계획!$S$4:$S$83,$AF50))</f>
        <v/>
      </c>
      <c r="R50" s="10">
        <f>IF($AF50="","",INDEX(파견수련계획!$U$4:$U$83,$AF50))</f>
        <v/>
      </c>
      <c r="S50" s="11">
        <f>IF($AF50="","",IF(INDEX(파견수련계획!$H$4:$H$83,$AF50)="","",INDEX(파견수련계획!$H$4:$H$83,$AF50)))</f>
        <v/>
      </c>
      <c r="T50" s="11">
        <f>IF($AF50="","",IF(INDEX(파견수련계획!$I$4:$I$83,$AF50)="","",INDEX(파견수련계획!$I$4:$I$83,$AF50)))</f>
        <v/>
      </c>
      <c r="U50" s="10">
        <f>IF($AF50="","",INDEX(파견수련계획!$X$4:$X$83,$AF50))</f>
        <v/>
      </c>
      <c r="V50" s="17">
        <f>IF($AF50="","",INDEX(파견수련계획!$V$4:$V$83,$AF50))</f>
        <v/>
      </c>
      <c r="W50" s="17">
        <f>IF(AND($U50="파견중",$T50&lt;&gt;""),$T50-TODAY(),"")</f>
        <v/>
      </c>
      <c r="X50" s="17">
        <f>IF(OR($B50="",TRIM($J50&amp;"")=""),"",SUMPRODUCT((파견수련계획!$Q$4:$Q$83=TRIM($J50&amp;""))*파견수련계획!$W$4:$W$83))</f>
        <v/>
      </c>
      <c r="Y50" s="10">
        <f>IF($B50="","",IF($AG50="","",IF(IF(TRIM($J50&amp;"")="",0,SUMPRODUCT((파견수련계획!$Q$4:$Q$83=TRIM($J50&amp;""))*파견수련계획!$AD$4:$AD$83))&gt;0,$AE50,IF(N($X50)&lt;=0,$AG50,IF($AH50+$AI50=DAY(EOMONTH(요약!$B$3,0)),IF(AND($AH50&gt;=요약!$E$3,$AI50&lt;요약!$E$3),"서울병원",IF(AND($AI50&gt;=요약!$E$3,$AH50&lt;요약!$E$3),"구리병원","⚠15일 판정불가(서울 "&amp;$AH50&amp;"일/구리 "&amp;$AI50&amp;"일)")),IF($AJ50="",$AE50,IF(INDEX(파견수련계획!$T$4:$T$83,$AJ50)="통합수련",INDEX(파견수련계획!$S$4:$S$83,$AJ50),$AE50)))))))</f>
        <v/>
      </c>
      <c r="Z50" s="19">
        <f>IF($B50="","",IF($AB50="","기본자료에 없는 사번",IF(COUNTIF($B$2:$B$61,$B50)&gt;1,"중복 사번",IF($AE50="","소속(입사장소) 입력",IF(IF(TRIM($J50&amp;"")="",0,SUMPRODUCT((파견수련계획!$Q$4:$Q$83=TRIM($J50&amp;""))*(파견수련계획!$AA$4:$AA$83&lt;&gt;"")))&gt;0,"파견수련계획 입력오류 확인",IF(LEFT($Y50,1)="⚠","서울·구리 15일 판정 불가(양쪽 모두 이상/미만)",IF(IF($AC50="",0,N(INDEX(인턴근무계획!$T$3:$T$62,$AC50)))&gt;0,"인턴계획 입력오류 확인",IF(AND($AC50&lt;&gt;"",$U50&lt;&gt;"파견중",$N50&lt;&gt;$AE50),"인턴 타지역 근무: 파견 여부 확인","정상"))))))))</f>
        <v/>
      </c>
      <c r="AA50" s="5" t="n"/>
      <c r="AB50" s="10">
        <f>IF($B50="","",IFERROR(MATCH($B50,기본자료!$B$2:$B$301,0),IFERROR(MATCH($B50&amp;"",기본자료!$B$2:$B$301,0),IFERROR(MATCH(VALUE($B50),기본자료!$B$2:$B$301,0),""))))</f>
        <v/>
      </c>
      <c r="AC50" s="10">
        <f>IF($B50="","",IFERROR(MATCH($B50,인턴근무계획!$D$3:$D$62,0),IFERROR(MATCH($B50&amp;"",인턴근무계획!$D$3:$D$62,0),IFERROR(MATCH(VALUE($B50),인턴근무계획!$D$3:$D$62,0),""))))</f>
        <v/>
      </c>
      <c r="AD50" s="10">
        <f>IF(OR($AC50="",인턴현황!$G$3=""),"",INDEX(인턴근무계획!$M$3:$R$62,$AC50,인턴현황!$G$3)&amp;"")</f>
        <v/>
      </c>
      <c r="AE50" s="10">
        <f>IF($B50="","",IF($M50&lt;&gt;"",$M50,IF($AF50&lt;&gt;"",IF(LEFT(INDEX(파견수련계획!$R$4:$R$83,$AF50),1)&lt;&gt;"⚠",INDEX(파견수련계획!$R$4:$R$83,$AF50),IF($H50="","",IF(RIGHT($H50,2)="병원",$H50,$H50&amp;"병원"))),IF($H50="","",IF(RIGHT($H50,2)="병원",$H50,$H50&amp;"병원")))))</f>
        <v/>
      </c>
      <c r="AF50" s="10">
        <f>IF(OR($B50="",TRIM($J50&amp;"")=""),"",IFERROR(MATCH(TRIM($J50&amp;"")&amp;"|파견중",파견수련계획!$Y$4:$Y$83,0),IFERROR(MATCH(TRIM($J50&amp;"")&amp;"|파견예정",파견수련계획!$Y$4:$Y$83,0),IFERROR(MATCH(TRIM($J50&amp;"")&amp;"|파견종료",파견수련계획!$Y$4:$Y$83,0),""))))</f>
        <v/>
      </c>
      <c r="AG50" s="10">
        <f>IF($B50="","",IF(AND(IF(OR($AC50="",인턴현황!$K$2=""),"",INDEX(인턴근무계획!$M$3:$R$62,$AC50,인턴현황!$K$2)&amp;"")&lt;&gt;"",LEFT(IF(OR($AC50="",인턴현황!$K$2=""),"",INDEX(인턴근무계획!$M$3:$R$62,$AC50,인턴현황!$K$2)&amp;""),1)&lt;&gt;"⚠"),LEFT(IF(OR($AC50="",인턴현황!$K$2=""),"",INDEX(인턴근무계획!$M$3:$R$62,$AC50,인턴현황!$K$2)&amp;""),FIND(" ",IF(OR($AC50="",인턴현황!$K$2=""),"",INDEX(인턴근무계획!$M$3:$R$62,$AC50,인턴현황!$K$2)&amp;""))-1),$AE50))</f>
        <v/>
      </c>
      <c r="AH50" s="17">
        <f>IF($B50="","",IF(TRIM($J50&amp;"")="",0,SUMPRODUCT((파견수련계획!$Q$4:$Q$83=TRIM($J50&amp;""))*(파견수련계획!$S$4:$S$83="서울병원")*파견수련계획!$W$4:$W$83))+IF($AG50="서울병원",MAX(0,DAY(EOMONTH(요약!$B$3,0))-N($X50)),0))</f>
        <v/>
      </c>
      <c r="AI50" s="17">
        <f>IF($B50="","",IF(TRIM($J50&amp;"")="",0,SUMPRODUCT((파견수련계획!$Q$4:$Q$83=TRIM($J50&amp;""))*(파견수련계획!$S$4:$S$83="구리병원")*파견수련계획!$W$4:$W$83))+IF($AG50="구리병원",MAX(0,DAY(EOMONTH(요약!$B$3,0))-N($X50)),0))</f>
        <v/>
      </c>
      <c r="AJ50" s="10">
        <f>IF(OR($B50="",TRIM($J50&amp;"")=""),"",IFERROR(MATCH(TRIM($J50&amp;"")&amp;"|월",파견수련계획!$Z$4:$Z$83,0),""))</f>
        <v/>
      </c>
      <c r="AK50" s="10">
        <f>IF(OR($B50="",TRIM($J50&amp;"")=""),"",IFERROR(MATCH(TRIM($J50&amp;"")&amp;"|다기관",파견수련계획!$AE$4:$AE$83,0),""))</f>
        <v/>
      </c>
      <c r="AL50" s="10">
        <f>IF($AK50="","","다기관 "&amp;TEXT(INDEX(파견수련계획!$AB$4:$AB$83,$AK50),"yyyy-mm-dd")&amp;"~"&amp;IF(ISNUMBER(INDEX(파견수련계획!$AC$4:$AC$83,$AK50)),TEXT(INDEX(파견수련계획!$AC$4:$AC$83,$AK50),"yyyy-mm-dd"),""))</f>
        <v/>
      </c>
    </row>
    <row r="51">
      <c r="A51" s="10">
        <f>IF(B51="","",ROW()-1)</f>
        <v/>
      </c>
      <c r="B51" s="18" t="n"/>
      <c r="C51" s="10">
        <f>IF($AB51="","",IF(INDEX(기본자료!$C$2:$C$301,$AB51)="","",INDEX(기본자료!$C$2:$C$301,$AB51)))</f>
        <v/>
      </c>
      <c r="D51" s="10">
        <f>IF($AB51="","",IF(INDEX(기본자료!$J$2:$J$301,$AB51)="","",INDEX(기본자료!$J$2:$J$301,$AB51)))</f>
        <v/>
      </c>
      <c r="E51" s="11">
        <f>IF($AB51="","",IF(INDEX(기본자료!$K$2:$K$301,$AB51)="","",IF(NOT(ISNUMBER(INDEX(기본자료!$K$2:$K$301,$AB51))),INDEX(기본자료!$K$2:$K$301,$AB51),IF(INDEX(기본자료!$K$2:$K$301,$AB51)&lt;1000000,INDEX(기본자료!$K$2:$K$301,$AB51),IF(AND(INDEX(기본자료!$K$2:$K$301,$AB51)&gt;=10000101,INT(MOD(INDEX(기본자료!$K$2:$K$301,$AB51),10000)/100)&gt;=1,INT(MOD(INDEX(기본자료!$K$2:$K$301,$AB51),10000)/100)&lt;=12,MOD(INDEX(기본자료!$K$2:$K$301,$AB51),100)&gt;=1,MOD(INDEX(기본자료!$K$2:$K$301,$AB51),100)&lt;=31),DATE(INT(INDEX(기본자료!$K$2:$K$301,$AB51)/10000),INT(MOD(INDEX(기본자료!$K$2:$K$301,$AB51),10000)/100),MOD(INDEX(기본자료!$K$2:$K$301,$AB51),100)),INDEX(기본자료!$K$2:$K$301,$AB51)&amp;"")))))</f>
        <v/>
      </c>
      <c r="F51" s="10">
        <f>IF($AB51="","",IF(INDEX(기본자료!$D$2:$D$301,$AB51)="","",INDEX(기본자료!$D$2:$D$301,$AB51)))</f>
        <v/>
      </c>
      <c r="G51" s="10">
        <f>IF($AB51="","",IF(INDEX(기본자료!$E$2:$E$301,$AB51)="","",INDEX(기본자료!$E$2:$E$301,$AB51)))</f>
        <v/>
      </c>
      <c r="H51" s="10">
        <f>IF($AB51="","",IF(INDEX(기본자료!$F$2:$F$301,$AB51)="","",INDEX(기본자료!$F$2:$F$301,$AB51)))</f>
        <v/>
      </c>
      <c r="I51" s="11">
        <f>IF($AB51="","",IF(INDEX(기본자료!$G$2:$G$301,$AB51)="","",IF(NOT(ISNUMBER(INDEX(기본자료!$G$2:$G$301,$AB51))),INDEX(기본자료!$G$2:$G$301,$AB51),IF(INDEX(기본자료!$G$2:$G$301,$AB51)&lt;1000000,INDEX(기본자료!$G$2:$G$301,$AB51),IF(AND(INDEX(기본자료!$G$2:$G$301,$AB51)&gt;=10000101,INT(MOD(INDEX(기본자료!$G$2:$G$301,$AB51),10000)/100)&gt;=1,INT(MOD(INDEX(기본자료!$G$2:$G$301,$AB51),10000)/100)&lt;=12,MOD(INDEX(기본자료!$G$2:$G$301,$AB51),100)&gt;=1,MOD(INDEX(기본자료!$G$2:$G$301,$AB51),100)&lt;=31),DATE(INT(INDEX(기본자료!$G$2:$G$301,$AB51)/10000),INT(MOD(INDEX(기본자료!$G$2:$G$301,$AB51),10000)/100),MOD(INDEX(기본자료!$G$2:$G$301,$AB51),100)),INDEX(기본자료!$G$2:$G$301,$AB51)&amp;"")))))</f>
        <v/>
      </c>
      <c r="J51" s="10">
        <f>IF($AB51="","",IF(INDEX(기본자료!$H$2:$H$301,$AB51)="","",INDEX(기본자료!$H$2:$H$301,$AB51)))</f>
        <v/>
      </c>
      <c r="K51" s="10">
        <f>IF($AB51="","",IF(INDEX(기본자료!$I$2:$I$301,$AB51)="","",INDEX(기본자료!$I$2:$I$301,$AB51)))</f>
        <v/>
      </c>
      <c r="L51" s="10">
        <f>IF($AB51="","",IF(INDEX(기본자료!$A$2:$A$301,$AB51)="","",INDEX(기본자료!$A$2:$A$301,$AB51)))</f>
        <v/>
      </c>
      <c r="M51" s="15" t="n"/>
      <c r="N51" s="10">
        <f>IF($B51="","",IF(AND($U51="파견중",$Q51&lt;&gt;""),$Q51,IF(AND($AD51&lt;&gt;"",LEFT($AD51,1)&lt;&gt;"⚠"),LEFT($AD51,FIND(" ",$AD51)-1),IF($H51="","",IF(RIGHT($H51,2)="병원",$H51,$H51&amp;"병원")))))</f>
        <v/>
      </c>
      <c r="O51" s="10">
        <f>IF($B51="","",IF(AND($U51="파견중",$Q51&lt;&gt;""),IF($R51&lt;&gt;"",$R51,"파견과 미입력"),IF(AND($AD51&lt;&gt;"",LEFT($AD51,1)&lt;&gt;"⚠"),MID($AD51,FIND(" ",$AD51)+1,60),IF($F51="","",IF($F51="인턴","수련교육부(인턴)",$F51)))))</f>
        <v/>
      </c>
      <c r="P51" s="10">
        <f>IF($B51="","",IF($AK51&lt;&gt;"",IF(AND(TODAY()&gt;=INDEX(파견수련계획!$AB$4:$AB$83,$AK51),OR(NOT(ISNUMBER(INDEX(파견수련계획!$AC$4:$AC$83,$AK51))),TODAY()&lt;=INDEX(파견수련계획!$AC$4:$AC$83,$AK51))),"다기관",IF($AF51="","",INDEX(파견수련계획!$T$4:$T$83,$AF51))),IF($AF51="","",INDEX(파견수련계획!$T$4:$T$83,$AF51))))</f>
        <v/>
      </c>
      <c r="Q51" s="10">
        <f>IF($AF51="","",INDEX(파견수련계획!$S$4:$S$83,$AF51))</f>
        <v/>
      </c>
      <c r="R51" s="10">
        <f>IF($AF51="","",INDEX(파견수련계획!$U$4:$U$83,$AF51))</f>
        <v/>
      </c>
      <c r="S51" s="11">
        <f>IF($AF51="","",IF(INDEX(파견수련계획!$H$4:$H$83,$AF51)="","",INDEX(파견수련계획!$H$4:$H$83,$AF51)))</f>
        <v/>
      </c>
      <c r="T51" s="11">
        <f>IF($AF51="","",IF(INDEX(파견수련계획!$I$4:$I$83,$AF51)="","",INDEX(파견수련계획!$I$4:$I$83,$AF51)))</f>
        <v/>
      </c>
      <c r="U51" s="10">
        <f>IF($AF51="","",INDEX(파견수련계획!$X$4:$X$83,$AF51))</f>
        <v/>
      </c>
      <c r="V51" s="17">
        <f>IF($AF51="","",INDEX(파견수련계획!$V$4:$V$83,$AF51))</f>
        <v/>
      </c>
      <c r="W51" s="17">
        <f>IF(AND($U51="파견중",$T51&lt;&gt;""),$T51-TODAY(),"")</f>
        <v/>
      </c>
      <c r="X51" s="17">
        <f>IF(OR($B51="",TRIM($J51&amp;"")=""),"",SUMPRODUCT((파견수련계획!$Q$4:$Q$83=TRIM($J51&amp;""))*파견수련계획!$W$4:$W$83))</f>
        <v/>
      </c>
      <c r="Y51" s="10">
        <f>IF($B51="","",IF($AG51="","",IF(IF(TRIM($J51&amp;"")="",0,SUMPRODUCT((파견수련계획!$Q$4:$Q$83=TRIM($J51&amp;""))*파견수련계획!$AD$4:$AD$83))&gt;0,$AE51,IF(N($X51)&lt;=0,$AG51,IF($AH51+$AI51=DAY(EOMONTH(요약!$B$3,0)),IF(AND($AH51&gt;=요약!$E$3,$AI51&lt;요약!$E$3),"서울병원",IF(AND($AI51&gt;=요약!$E$3,$AH51&lt;요약!$E$3),"구리병원","⚠15일 판정불가(서울 "&amp;$AH51&amp;"일/구리 "&amp;$AI51&amp;"일)")),IF($AJ51="",$AE51,IF(INDEX(파견수련계획!$T$4:$T$83,$AJ51)="통합수련",INDEX(파견수련계획!$S$4:$S$83,$AJ51),$AE51)))))))</f>
        <v/>
      </c>
      <c r="Z51" s="19">
        <f>IF($B51="","",IF($AB51="","기본자료에 없는 사번",IF(COUNTIF($B$2:$B$61,$B51)&gt;1,"중복 사번",IF($AE51="","소속(입사장소) 입력",IF(IF(TRIM($J51&amp;"")="",0,SUMPRODUCT((파견수련계획!$Q$4:$Q$83=TRIM($J51&amp;""))*(파견수련계획!$AA$4:$AA$83&lt;&gt;"")))&gt;0,"파견수련계획 입력오류 확인",IF(LEFT($Y51,1)="⚠","서울·구리 15일 판정 불가(양쪽 모두 이상/미만)",IF(IF($AC51="",0,N(INDEX(인턴근무계획!$T$3:$T$62,$AC51)))&gt;0,"인턴계획 입력오류 확인",IF(AND($AC51&lt;&gt;"",$U51&lt;&gt;"파견중",$N51&lt;&gt;$AE51),"인턴 타지역 근무: 파견 여부 확인","정상"))))))))</f>
        <v/>
      </c>
      <c r="AA51" s="5" t="n"/>
      <c r="AB51" s="10">
        <f>IF($B51="","",IFERROR(MATCH($B51,기본자료!$B$2:$B$301,0),IFERROR(MATCH($B51&amp;"",기본자료!$B$2:$B$301,0),IFERROR(MATCH(VALUE($B51),기본자료!$B$2:$B$301,0),""))))</f>
        <v/>
      </c>
      <c r="AC51" s="10">
        <f>IF($B51="","",IFERROR(MATCH($B51,인턴근무계획!$D$3:$D$62,0),IFERROR(MATCH($B51&amp;"",인턴근무계획!$D$3:$D$62,0),IFERROR(MATCH(VALUE($B51),인턴근무계획!$D$3:$D$62,0),""))))</f>
        <v/>
      </c>
      <c r="AD51" s="10">
        <f>IF(OR($AC51="",인턴현황!$G$3=""),"",INDEX(인턴근무계획!$M$3:$R$62,$AC51,인턴현황!$G$3)&amp;"")</f>
        <v/>
      </c>
      <c r="AE51" s="10">
        <f>IF($B51="","",IF($M51&lt;&gt;"",$M51,IF($AF51&lt;&gt;"",IF(LEFT(INDEX(파견수련계획!$R$4:$R$83,$AF51),1)&lt;&gt;"⚠",INDEX(파견수련계획!$R$4:$R$83,$AF51),IF($H51="","",IF(RIGHT($H51,2)="병원",$H51,$H51&amp;"병원"))),IF($H51="","",IF(RIGHT($H51,2)="병원",$H51,$H51&amp;"병원")))))</f>
        <v/>
      </c>
      <c r="AF51" s="10">
        <f>IF(OR($B51="",TRIM($J51&amp;"")=""),"",IFERROR(MATCH(TRIM($J51&amp;"")&amp;"|파견중",파견수련계획!$Y$4:$Y$83,0),IFERROR(MATCH(TRIM($J51&amp;"")&amp;"|파견예정",파견수련계획!$Y$4:$Y$83,0),IFERROR(MATCH(TRIM($J51&amp;"")&amp;"|파견종료",파견수련계획!$Y$4:$Y$83,0),""))))</f>
        <v/>
      </c>
      <c r="AG51" s="10">
        <f>IF($B51="","",IF(AND(IF(OR($AC51="",인턴현황!$K$2=""),"",INDEX(인턴근무계획!$M$3:$R$62,$AC51,인턴현황!$K$2)&amp;"")&lt;&gt;"",LEFT(IF(OR($AC51="",인턴현황!$K$2=""),"",INDEX(인턴근무계획!$M$3:$R$62,$AC51,인턴현황!$K$2)&amp;""),1)&lt;&gt;"⚠"),LEFT(IF(OR($AC51="",인턴현황!$K$2=""),"",INDEX(인턴근무계획!$M$3:$R$62,$AC51,인턴현황!$K$2)&amp;""),FIND(" ",IF(OR($AC51="",인턴현황!$K$2=""),"",INDEX(인턴근무계획!$M$3:$R$62,$AC51,인턴현황!$K$2)&amp;""))-1),$AE51))</f>
        <v/>
      </c>
      <c r="AH51" s="17">
        <f>IF($B51="","",IF(TRIM($J51&amp;"")="",0,SUMPRODUCT((파견수련계획!$Q$4:$Q$83=TRIM($J51&amp;""))*(파견수련계획!$S$4:$S$83="서울병원")*파견수련계획!$W$4:$W$83))+IF($AG51="서울병원",MAX(0,DAY(EOMONTH(요약!$B$3,0))-N($X51)),0))</f>
        <v/>
      </c>
      <c r="AI51" s="17">
        <f>IF($B51="","",IF(TRIM($J51&amp;"")="",0,SUMPRODUCT((파견수련계획!$Q$4:$Q$83=TRIM($J51&amp;""))*(파견수련계획!$S$4:$S$83="구리병원")*파견수련계획!$W$4:$W$83))+IF($AG51="구리병원",MAX(0,DAY(EOMONTH(요약!$B$3,0))-N($X51)),0))</f>
        <v/>
      </c>
      <c r="AJ51" s="10">
        <f>IF(OR($B51="",TRIM($J51&amp;"")=""),"",IFERROR(MATCH(TRIM($J51&amp;"")&amp;"|월",파견수련계획!$Z$4:$Z$83,0),""))</f>
        <v/>
      </c>
      <c r="AK51" s="10">
        <f>IF(OR($B51="",TRIM($J51&amp;"")=""),"",IFERROR(MATCH(TRIM($J51&amp;"")&amp;"|다기관",파견수련계획!$AE$4:$AE$83,0),""))</f>
        <v/>
      </c>
      <c r="AL51" s="10">
        <f>IF($AK51="","","다기관 "&amp;TEXT(INDEX(파견수련계획!$AB$4:$AB$83,$AK51),"yyyy-mm-dd")&amp;"~"&amp;IF(ISNUMBER(INDEX(파견수련계획!$AC$4:$AC$83,$AK51)),TEXT(INDEX(파견수련계획!$AC$4:$AC$83,$AK51),"yyyy-mm-dd"),""))</f>
        <v/>
      </c>
    </row>
    <row r="52">
      <c r="A52" s="10">
        <f>IF(B52="","",ROW()-1)</f>
        <v/>
      </c>
      <c r="B52" s="18" t="n"/>
      <c r="C52" s="10">
        <f>IF($AB52="","",IF(INDEX(기본자료!$C$2:$C$301,$AB52)="","",INDEX(기본자료!$C$2:$C$301,$AB52)))</f>
        <v/>
      </c>
      <c r="D52" s="10">
        <f>IF($AB52="","",IF(INDEX(기본자료!$J$2:$J$301,$AB52)="","",INDEX(기본자료!$J$2:$J$301,$AB52)))</f>
        <v/>
      </c>
      <c r="E52" s="11">
        <f>IF($AB52="","",IF(INDEX(기본자료!$K$2:$K$301,$AB52)="","",IF(NOT(ISNUMBER(INDEX(기본자료!$K$2:$K$301,$AB52))),INDEX(기본자료!$K$2:$K$301,$AB52),IF(INDEX(기본자료!$K$2:$K$301,$AB52)&lt;1000000,INDEX(기본자료!$K$2:$K$301,$AB52),IF(AND(INDEX(기본자료!$K$2:$K$301,$AB52)&gt;=10000101,INT(MOD(INDEX(기본자료!$K$2:$K$301,$AB52),10000)/100)&gt;=1,INT(MOD(INDEX(기본자료!$K$2:$K$301,$AB52),10000)/100)&lt;=12,MOD(INDEX(기본자료!$K$2:$K$301,$AB52),100)&gt;=1,MOD(INDEX(기본자료!$K$2:$K$301,$AB52),100)&lt;=31),DATE(INT(INDEX(기본자료!$K$2:$K$301,$AB52)/10000),INT(MOD(INDEX(기본자료!$K$2:$K$301,$AB52),10000)/100),MOD(INDEX(기본자료!$K$2:$K$301,$AB52),100)),INDEX(기본자료!$K$2:$K$301,$AB52)&amp;"")))))</f>
        <v/>
      </c>
      <c r="F52" s="10">
        <f>IF($AB52="","",IF(INDEX(기본자료!$D$2:$D$301,$AB52)="","",INDEX(기본자료!$D$2:$D$301,$AB52)))</f>
        <v/>
      </c>
      <c r="G52" s="10">
        <f>IF($AB52="","",IF(INDEX(기본자료!$E$2:$E$301,$AB52)="","",INDEX(기본자료!$E$2:$E$301,$AB52)))</f>
        <v/>
      </c>
      <c r="H52" s="10">
        <f>IF($AB52="","",IF(INDEX(기본자료!$F$2:$F$301,$AB52)="","",INDEX(기본자료!$F$2:$F$301,$AB52)))</f>
        <v/>
      </c>
      <c r="I52" s="11">
        <f>IF($AB52="","",IF(INDEX(기본자료!$G$2:$G$301,$AB52)="","",IF(NOT(ISNUMBER(INDEX(기본자료!$G$2:$G$301,$AB52))),INDEX(기본자료!$G$2:$G$301,$AB52),IF(INDEX(기본자료!$G$2:$G$301,$AB52)&lt;1000000,INDEX(기본자료!$G$2:$G$301,$AB52),IF(AND(INDEX(기본자료!$G$2:$G$301,$AB52)&gt;=10000101,INT(MOD(INDEX(기본자료!$G$2:$G$301,$AB52),10000)/100)&gt;=1,INT(MOD(INDEX(기본자료!$G$2:$G$301,$AB52),10000)/100)&lt;=12,MOD(INDEX(기본자료!$G$2:$G$301,$AB52),100)&gt;=1,MOD(INDEX(기본자료!$G$2:$G$301,$AB52),100)&lt;=31),DATE(INT(INDEX(기본자료!$G$2:$G$301,$AB52)/10000),INT(MOD(INDEX(기본자료!$G$2:$G$301,$AB52),10000)/100),MOD(INDEX(기본자료!$G$2:$G$301,$AB52),100)),INDEX(기본자료!$G$2:$G$301,$AB52)&amp;"")))))</f>
        <v/>
      </c>
      <c r="J52" s="10">
        <f>IF($AB52="","",IF(INDEX(기본자료!$H$2:$H$301,$AB52)="","",INDEX(기본자료!$H$2:$H$301,$AB52)))</f>
        <v/>
      </c>
      <c r="K52" s="10">
        <f>IF($AB52="","",IF(INDEX(기본자료!$I$2:$I$301,$AB52)="","",INDEX(기본자료!$I$2:$I$301,$AB52)))</f>
        <v/>
      </c>
      <c r="L52" s="10">
        <f>IF($AB52="","",IF(INDEX(기본자료!$A$2:$A$301,$AB52)="","",INDEX(기본자료!$A$2:$A$301,$AB52)))</f>
        <v/>
      </c>
      <c r="M52" s="15" t="n"/>
      <c r="N52" s="10">
        <f>IF($B52="","",IF(AND($U52="파견중",$Q52&lt;&gt;""),$Q52,IF(AND($AD52&lt;&gt;"",LEFT($AD52,1)&lt;&gt;"⚠"),LEFT($AD52,FIND(" ",$AD52)-1),IF($H52="","",IF(RIGHT($H52,2)="병원",$H52,$H52&amp;"병원")))))</f>
        <v/>
      </c>
      <c r="O52" s="10">
        <f>IF($B52="","",IF(AND($U52="파견중",$Q52&lt;&gt;""),IF($R52&lt;&gt;"",$R52,"파견과 미입력"),IF(AND($AD52&lt;&gt;"",LEFT($AD52,1)&lt;&gt;"⚠"),MID($AD52,FIND(" ",$AD52)+1,60),IF($F52="","",IF($F52="인턴","수련교육부(인턴)",$F52)))))</f>
        <v/>
      </c>
      <c r="P52" s="10">
        <f>IF($B52="","",IF($AK52&lt;&gt;"",IF(AND(TODAY()&gt;=INDEX(파견수련계획!$AB$4:$AB$83,$AK52),OR(NOT(ISNUMBER(INDEX(파견수련계획!$AC$4:$AC$83,$AK52))),TODAY()&lt;=INDEX(파견수련계획!$AC$4:$AC$83,$AK52))),"다기관",IF($AF52="","",INDEX(파견수련계획!$T$4:$T$83,$AF52))),IF($AF52="","",INDEX(파견수련계획!$T$4:$T$83,$AF52))))</f>
        <v/>
      </c>
      <c r="Q52" s="10">
        <f>IF($AF52="","",INDEX(파견수련계획!$S$4:$S$83,$AF52))</f>
        <v/>
      </c>
      <c r="R52" s="10">
        <f>IF($AF52="","",INDEX(파견수련계획!$U$4:$U$83,$AF52))</f>
        <v/>
      </c>
      <c r="S52" s="11">
        <f>IF($AF52="","",IF(INDEX(파견수련계획!$H$4:$H$83,$AF52)="","",INDEX(파견수련계획!$H$4:$H$83,$AF52)))</f>
        <v/>
      </c>
      <c r="T52" s="11">
        <f>IF($AF52="","",IF(INDEX(파견수련계획!$I$4:$I$83,$AF52)="","",INDEX(파견수련계획!$I$4:$I$83,$AF52)))</f>
        <v/>
      </c>
      <c r="U52" s="10">
        <f>IF($AF52="","",INDEX(파견수련계획!$X$4:$X$83,$AF52))</f>
        <v/>
      </c>
      <c r="V52" s="17">
        <f>IF($AF52="","",INDEX(파견수련계획!$V$4:$V$83,$AF52))</f>
        <v/>
      </c>
      <c r="W52" s="17">
        <f>IF(AND($U52="파견중",$T52&lt;&gt;""),$T52-TODAY(),"")</f>
        <v/>
      </c>
      <c r="X52" s="17">
        <f>IF(OR($B52="",TRIM($J52&amp;"")=""),"",SUMPRODUCT((파견수련계획!$Q$4:$Q$83=TRIM($J52&amp;""))*파견수련계획!$W$4:$W$83))</f>
        <v/>
      </c>
      <c r="Y52" s="10">
        <f>IF($B52="","",IF($AG52="","",IF(IF(TRIM($J52&amp;"")="",0,SUMPRODUCT((파견수련계획!$Q$4:$Q$83=TRIM($J52&amp;""))*파견수련계획!$AD$4:$AD$83))&gt;0,$AE52,IF(N($X52)&lt;=0,$AG52,IF($AH52+$AI52=DAY(EOMONTH(요약!$B$3,0)),IF(AND($AH52&gt;=요약!$E$3,$AI52&lt;요약!$E$3),"서울병원",IF(AND($AI52&gt;=요약!$E$3,$AH52&lt;요약!$E$3),"구리병원","⚠15일 판정불가(서울 "&amp;$AH52&amp;"일/구리 "&amp;$AI52&amp;"일)")),IF($AJ52="",$AE52,IF(INDEX(파견수련계획!$T$4:$T$83,$AJ52)="통합수련",INDEX(파견수련계획!$S$4:$S$83,$AJ52),$AE52)))))))</f>
        <v/>
      </c>
      <c r="Z52" s="19">
        <f>IF($B52="","",IF($AB52="","기본자료에 없는 사번",IF(COUNTIF($B$2:$B$61,$B52)&gt;1,"중복 사번",IF($AE52="","소속(입사장소) 입력",IF(IF(TRIM($J52&amp;"")="",0,SUMPRODUCT((파견수련계획!$Q$4:$Q$83=TRIM($J52&amp;""))*(파견수련계획!$AA$4:$AA$83&lt;&gt;"")))&gt;0,"파견수련계획 입력오류 확인",IF(LEFT($Y52,1)="⚠","서울·구리 15일 판정 불가(양쪽 모두 이상/미만)",IF(IF($AC52="",0,N(INDEX(인턴근무계획!$T$3:$T$62,$AC52)))&gt;0,"인턴계획 입력오류 확인",IF(AND($AC52&lt;&gt;"",$U52&lt;&gt;"파견중",$N52&lt;&gt;$AE52),"인턴 타지역 근무: 파견 여부 확인","정상"))))))))</f>
        <v/>
      </c>
      <c r="AA52" s="5" t="n"/>
      <c r="AB52" s="10">
        <f>IF($B52="","",IFERROR(MATCH($B52,기본자료!$B$2:$B$301,0),IFERROR(MATCH($B52&amp;"",기본자료!$B$2:$B$301,0),IFERROR(MATCH(VALUE($B52),기본자료!$B$2:$B$301,0),""))))</f>
        <v/>
      </c>
      <c r="AC52" s="10">
        <f>IF($B52="","",IFERROR(MATCH($B52,인턴근무계획!$D$3:$D$62,0),IFERROR(MATCH($B52&amp;"",인턴근무계획!$D$3:$D$62,0),IFERROR(MATCH(VALUE($B52),인턴근무계획!$D$3:$D$62,0),""))))</f>
        <v/>
      </c>
      <c r="AD52" s="10">
        <f>IF(OR($AC52="",인턴현황!$G$3=""),"",INDEX(인턴근무계획!$M$3:$R$62,$AC52,인턴현황!$G$3)&amp;"")</f>
        <v/>
      </c>
      <c r="AE52" s="10">
        <f>IF($B52="","",IF($M52&lt;&gt;"",$M52,IF($AF52&lt;&gt;"",IF(LEFT(INDEX(파견수련계획!$R$4:$R$83,$AF52),1)&lt;&gt;"⚠",INDEX(파견수련계획!$R$4:$R$83,$AF52),IF($H52="","",IF(RIGHT($H52,2)="병원",$H52,$H52&amp;"병원"))),IF($H52="","",IF(RIGHT($H52,2)="병원",$H52,$H52&amp;"병원")))))</f>
        <v/>
      </c>
      <c r="AF52" s="10">
        <f>IF(OR($B52="",TRIM($J52&amp;"")=""),"",IFERROR(MATCH(TRIM($J52&amp;"")&amp;"|파견중",파견수련계획!$Y$4:$Y$83,0),IFERROR(MATCH(TRIM($J52&amp;"")&amp;"|파견예정",파견수련계획!$Y$4:$Y$83,0),IFERROR(MATCH(TRIM($J52&amp;"")&amp;"|파견종료",파견수련계획!$Y$4:$Y$83,0),""))))</f>
        <v/>
      </c>
      <c r="AG52" s="10">
        <f>IF($B52="","",IF(AND(IF(OR($AC52="",인턴현황!$K$2=""),"",INDEX(인턴근무계획!$M$3:$R$62,$AC52,인턴현황!$K$2)&amp;"")&lt;&gt;"",LEFT(IF(OR($AC52="",인턴현황!$K$2=""),"",INDEX(인턴근무계획!$M$3:$R$62,$AC52,인턴현황!$K$2)&amp;""),1)&lt;&gt;"⚠"),LEFT(IF(OR($AC52="",인턴현황!$K$2=""),"",INDEX(인턴근무계획!$M$3:$R$62,$AC52,인턴현황!$K$2)&amp;""),FIND(" ",IF(OR($AC52="",인턴현황!$K$2=""),"",INDEX(인턴근무계획!$M$3:$R$62,$AC52,인턴현황!$K$2)&amp;""))-1),$AE52))</f>
        <v/>
      </c>
      <c r="AH52" s="17">
        <f>IF($B52="","",IF(TRIM($J52&amp;"")="",0,SUMPRODUCT((파견수련계획!$Q$4:$Q$83=TRIM($J52&amp;""))*(파견수련계획!$S$4:$S$83="서울병원")*파견수련계획!$W$4:$W$83))+IF($AG52="서울병원",MAX(0,DAY(EOMONTH(요약!$B$3,0))-N($X52)),0))</f>
        <v/>
      </c>
      <c r="AI52" s="17">
        <f>IF($B52="","",IF(TRIM($J52&amp;"")="",0,SUMPRODUCT((파견수련계획!$Q$4:$Q$83=TRIM($J52&amp;""))*(파견수련계획!$S$4:$S$83="구리병원")*파견수련계획!$W$4:$W$83))+IF($AG52="구리병원",MAX(0,DAY(EOMONTH(요약!$B$3,0))-N($X52)),0))</f>
        <v/>
      </c>
      <c r="AJ52" s="10">
        <f>IF(OR($B52="",TRIM($J52&amp;"")=""),"",IFERROR(MATCH(TRIM($J52&amp;"")&amp;"|월",파견수련계획!$Z$4:$Z$83,0),""))</f>
        <v/>
      </c>
      <c r="AK52" s="10">
        <f>IF(OR($B52="",TRIM($J52&amp;"")=""),"",IFERROR(MATCH(TRIM($J52&amp;"")&amp;"|다기관",파견수련계획!$AE$4:$AE$83,0),""))</f>
        <v/>
      </c>
      <c r="AL52" s="10">
        <f>IF($AK52="","","다기관 "&amp;TEXT(INDEX(파견수련계획!$AB$4:$AB$83,$AK52),"yyyy-mm-dd")&amp;"~"&amp;IF(ISNUMBER(INDEX(파견수련계획!$AC$4:$AC$83,$AK52)),TEXT(INDEX(파견수련계획!$AC$4:$AC$83,$AK52),"yyyy-mm-dd"),""))</f>
        <v/>
      </c>
    </row>
    <row r="53">
      <c r="A53" s="10">
        <f>IF(B53="","",ROW()-1)</f>
        <v/>
      </c>
      <c r="B53" s="18" t="n"/>
      <c r="C53" s="10">
        <f>IF($AB53="","",IF(INDEX(기본자료!$C$2:$C$301,$AB53)="","",INDEX(기본자료!$C$2:$C$301,$AB53)))</f>
        <v/>
      </c>
      <c r="D53" s="10">
        <f>IF($AB53="","",IF(INDEX(기본자료!$J$2:$J$301,$AB53)="","",INDEX(기본자료!$J$2:$J$301,$AB53)))</f>
        <v/>
      </c>
      <c r="E53" s="11">
        <f>IF($AB53="","",IF(INDEX(기본자료!$K$2:$K$301,$AB53)="","",IF(NOT(ISNUMBER(INDEX(기본자료!$K$2:$K$301,$AB53))),INDEX(기본자료!$K$2:$K$301,$AB53),IF(INDEX(기본자료!$K$2:$K$301,$AB53)&lt;1000000,INDEX(기본자료!$K$2:$K$301,$AB53),IF(AND(INDEX(기본자료!$K$2:$K$301,$AB53)&gt;=10000101,INT(MOD(INDEX(기본자료!$K$2:$K$301,$AB53),10000)/100)&gt;=1,INT(MOD(INDEX(기본자료!$K$2:$K$301,$AB53),10000)/100)&lt;=12,MOD(INDEX(기본자료!$K$2:$K$301,$AB53),100)&gt;=1,MOD(INDEX(기본자료!$K$2:$K$301,$AB53),100)&lt;=31),DATE(INT(INDEX(기본자료!$K$2:$K$301,$AB53)/10000),INT(MOD(INDEX(기본자료!$K$2:$K$301,$AB53),10000)/100),MOD(INDEX(기본자료!$K$2:$K$301,$AB53),100)),INDEX(기본자료!$K$2:$K$301,$AB53)&amp;"")))))</f>
        <v/>
      </c>
      <c r="F53" s="10">
        <f>IF($AB53="","",IF(INDEX(기본자료!$D$2:$D$301,$AB53)="","",INDEX(기본자료!$D$2:$D$301,$AB53)))</f>
        <v/>
      </c>
      <c r="G53" s="10">
        <f>IF($AB53="","",IF(INDEX(기본자료!$E$2:$E$301,$AB53)="","",INDEX(기본자료!$E$2:$E$301,$AB53)))</f>
        <v/>
      </c>
      <c r="H53" s="10">
        <f>IF($AB53="","",IF(INDEX(기본자료!$F$2:$F$301,$AB53)="","",INDEX(기본자료!$F$2:$F$301,$AB53)))</f>
        <v/>
      </c>
      <c r="I53" s="11">
        <f>IF($AB53="","",IF(INDEX(기본자료!$G$2:$G$301,$AB53)="","",IF(NOT(ISNUMBER(INDEX(기본자료!$G$2:$G$301,$AB53))),INDEX(기본자료!$G$2:$G$301,$AB53),IF(INDEX(기본자료!$G$2:$G$301,$AB53)&lt;1000000,INDEX(기본자료!$G$2:$G$301,$AB53),IF(AND(INDEX(기본자료!$G$2:$G$301,$AB53)&gt;=10000101,INT(MOD(INDEX(기본자료!$G$2:$G$301,$AB53),10000)/100)&gt;=1,INT(MOD(INDEX(기본자료!$G$2:$G$301,$AB53),10000)/100)&lt;=12,MOD(INDEX(기본자료!$G$2:$G$301,$AB53),100)&gt;=1,MOD(INDEX(기본자료!$G$2:$G$301,$AB53),100)&lt;=31),DATE(INT(INDEX(기본자료!$G$2:$G$301,$AB53)/10000),INT(MOD(INDEX(기본자료!$G$2:$G$301,$AB53),10000)/100),MOD(INDEX(기본자료!$G$2:$G$301,$AB53),100)),INDEX(기본자료!$G$2:$G$301,$AB53)&amp;"")))))</f>
        <v/>
      </c>
      <c r="J53" s="10">
        <f>IF($AB53="","",IF(INDEX(기본자료!$H$2:$H$301,$AB53)="","",INDEX(기본자료!$H$2:$H$301,$AB53)))</f>
        <v/>
      </c>
      <c r="K53" s="10">
        <f>IF($AB53="","",IF(INDEX(기본자료!$I$2:$I$301,$AB53)="","",INDEX(기본자료!$I$2:$I$301,$AB53)))</f>
        <v/>
      </c>
      <c r="L53" s="10">
        <f>IF($AB53="","",IF(INDEX(기본자료!$A$2:$A$301,$AB53)="","",INDEX(기본자료!$A$2:$A$301,$AB53)))</f>
        <v/>
      </c>
      <c r="M53" s="15" t="n"/>
      <c r="N53" s="10">
        <f>IF($B53="","",IF(AND($U53="파견중",$Q53&lt;&gt;""),$Q53,IF(AND($AD53&lt;&gt;"",LEFT($AD53,1)&lt;&gt;"⚠"),LEFT($AD53,FIND(" ",$AD53)-1),IF($H53="","",IF(RIGHT($H53,2)="병원",$H53,$H53&amp;"병원")))))</f>
        <v/>
      </c>
      <c r="O53" s="10">
        <f>IF($B53="","",IF(AND($U53="파견중",$Q53&lt;&gt;""),IF($R53&lt;&gt;"",$R53,"파견과 미입력"),IF(AND($AD53&lt;&gt;"",LEFT($AD53,1)&lt;&gt;"⚠"),MID($AD53,FIND(" ",$AD53)+1,60),IF($F53="","",IF($F53="인턴","수련교육부(인턴)",$F53)))))</f>
        <v/>
      </c>
      <c r="P53" s="10">
        <f>IF($B53="","",IF($AK53&lt;&gt;"",IF(AND(TODAY()&gt;=INDEX(파견수련계획!$AB$4:$AB$83,$AK53),OR(NOT(ISNUMBER(INDEX(파견수련계획!$AC$4:$AC$83,$AK53))),TODAY()&lt;=INDEX(파견수련계획!$AC$4:$AC$83,$AK53))),"다기관",IF($AF53="","",INDEX(파견수련계획!$T$4:$T$83,$AF53))),IF($AF53="","",INDEX(파견수련계획!$T$4:$T$83,$AF53))))</f>
        <v/>
      </c>
      <c r="Q53" s="10">
        <f>IF($AF53="","",INDEX(파견수련계획!$S$4:$S$83,$AF53))</f>
        <v/>
      </c>
      <c r="R53" s="10">
        <f>IF($AF53="","",INDEX(파견수련계획!$U$4:$U$83,$AF53))</f>
        <v/>
      </c>
      <c r="S53" s="11">
        <f>IF($AF53="","",IF(INDEX(파견수련계획!$H$4:$H$83,$AF53)="","",INDEX(파견수련계획!$H$4:$H$83,$AF53)))</f>
        <v/>
      </c>
      <c r="T53" s="11">
        <f>IF($AF53="","",IF(INDEX(파견수련계획!$I$4:$I$83,$AF53)="","",INDEX(파견수련계획!$I$4:$I$83,$AF53)))</f>
        <v/>
      </c>
      <c r="U53" s="10">
        <f>IF($AF53="","",INDEX(파견수련계획!$X$4:$X$83,$AF53))</f>
        <v/>
      </c>
      <c r="V53" s="17">
        <f>IF($AF53="","",INDEX(파견수련계획!$V$4:$V$83,$AF53))</f>
        <v/>
      </c>
      <c r="W53" s="17">
        <f>IF(AND($U53="파견중",$T53&lt;&gt;""),$T53-TODAY(),"")</f>
        <v/>
      </c>
      <c r="X53" s="17">
        <f>IF(OR($B53="",TRIM($J53&amp;"")=""),"",SUMPRODUCT((파견수련계획!$Q$4:$Q$83=TRIM($J53&amp;""))*파견수련계획!$W$4:$W$83))</f>
        <v/>
      </c>
      <c r="Y53" s="10">
        <f>IF($B53="","",IF($AG53="","",IF(IF(TRIM($J53&amp;"")="",0,SUMPRODUCT((파견수련계획!$Q$4:$Q$83=TRIM($J53&amp;""))*파견수련계획!$AD$4:$AD$83))&gt;0,$AE53,IF(N($X53)&lt;=0,$AG53,IF($AH53+$AI53=DAY(EOMONTH(요약!$B$3,0)),IF(AND($AH53&gt;=요약!$E$3,$AI53&lt;요약!$E$3),"서울병원",IF(AND($AI53&gt;=요약!$E$3,$AH53&lt;요약!$E$3),"구리병원","⚠15일 판정불가(서울 "&amp;$AH53&amp;"일/구리 "&amp;$AI53&amp;"일)")),IF($AJ53="",$AE53,IF(INDEX(파견수련계획!$T$4:$T$83,$AJ53)="통합수련",INDEX(파견수련계획!$S$4:$S$83,$AJ53),$AE53)))))))</f>
        <v/>
      </c>
      <c r="Z53" s="19">
        <f>IF($B53="","",IF($AB53="","기본자료에 없는 사번",IF(COUNTIF($B$2:$B$61,$B53)&gt;1,"중복 사번",IF($AE53="","소속(입사장소) 입력",IF(IF(TRIM($J53&amp;"")="",0,SUMPRODUCT((파견수련계획!$Q$4:$Q$83=TRIM($J53&amp;""))*(파견수련계획!$AA$4:$AA$83&lt;&gt;"")))&gt;0,"파견수련계획 입력오류 확인",IF(LEFT($Y53,1)="⚠","서울·구리 15일 판정 불가(양쪽 모두 이상/미만)",IF(IF($AC53="",0,N(INDEX(인턴근무계획!$T$3:$T$62,$AC53)))&gt;0,"인턴계획 입력오류 확인",IF(AND($AC53&lt;&gt;"",$U53&lt;&gt;"파견중",$N53&lt;&gt;$AE53),"인턴 타지역 근무: 파견 여부 확인","정상"))))))))</f>
        <v/>
      </c>
      <c r="AA53" s="5" t="n"/>
      <c r="AB53" s="10">
        <f>IF($B53="","",IFERROR(MATCH($B53,기본자료!$B$2:$B$301,0),IFERROR(MATCH($B53&amp;"",기본자료!$B$2:$B$301,0),IFERROR(MATCH(VALUE($B53),기본자료!$B$2:$B$301,0),""))))</f>
        <v/>
      </c>
      <c r="AC53" s="10">
        <f>IF($B53="","",IFERROR(MATCH($B53,인턴근무계획!$D$3:$D$62,0),IFERROR(MATCH($B53&amp;"",인턴근무계획!$D$3:$D$62,0),IFERROR(MATCH(VALUE($B53),인턴근무계획!$D$3:$D$62,0),""))))</f>
        <v/>
      </c>
      <c r="AD53" s="10">
        <f>IF(OR($AC53="",인턴현황!$G$3=""),"",INDEX(인턴근무계획!$M$3:$R$62,$AC53,인턴현황!$G$3)&amp;"")</f>
        <v/>
      </c>
      <c r="AE53" s="10">
        <f>IF($B53="","",IF($M53&lt;&gt;"",$M53,IF($AF53&lt;&gt;"",IF(LEFT(INDEX(파견수련계획!$R$4:$R$83,$AF53),1)&lt;&gt;"⚠",INDEX(파견수련계획!$R$4:$R$83,$AF53),IF($H53="","",IF(RIGHT($H53,2)="병원",$H53,$H53&amp;"병원"))),IF($H53="","",IF(RIGHT($H53,2)="병원",$H53,$H53&amp;"병원")))))</f>
        <v/>
      </c>
      <c r="AF53" s="10">
        <f>IF(OR($B53="",TRIM($J53&amp;"")=""),"",IFERROR(MATCH(TRIM($J53&amp;"")&amp;"|파견중",파견수련계획!$Y$4:$Y$83,0),IFERROR(MATCH(TRIM($J53&amp;"")&amp;"|파견예정",파견수련계획!$Y$4:$Y$83,0),IFERROR(MATCH(TRIM($J53&amp;"")&amp;"|파견종료",파견수련계획!$Y$4:$Y$83,0),""))))</f>
        <v/>
      </c>
      <c r="AG53" s="10">
        <f>IF($B53="","",IF(AND(IF(OR($AC53="",인턴현황!$K$2=""),"",INDEX(인턴근무계획!$M$3:$R$62,$AC53,인턴현황!$K$2)&amp;"")&lt;&gt;"",LEFT(IF(OR($AC53="",인턴현황!$K$2=""),"",INDEX(인턴근무계획!$M$3:$R$62,$AC53,인턴현황!$K$2)&amp;""),1)&lt;&gt;"⚠"),LEFT(IF(OR($AC53="",인턴현황!$K$2=""),"",INDEX(인턴근무계획!$M$3:$R$62,$AC53,인턴현황!$K$2)&amp;""),FIND(" ",IF(OR($AC53="",인턴현황!$K$2=""),"",INDEX(인턴근무계획!$M$3:$R$62,$AC53,인턴현황!$K$2)&amp;""))-1),$AE53))</f>
        <v/>
      </c>
      <c r="AH53" s="17">
        <f>IF($B53="","",IF(TRIM($J53&amp;"")="",0,SUMPRODUCT((파견수련계획!$Q$4:$Q$83=TRIM($J53&amp;""))*(파견수련계획!$S$4:$S$83="서울병원")*파견수련계획!$W$4:$W$83))+IF($AG53="서울병원",MAX(0,DAY(EOMONTH(요약!$B$3,0))-N($X53)),0))</f>
        <v/>
      </c>
      <c r="AI53" s="17">
        <f>IF($B53="","",IF(TRIM($J53&amp;"")="",0,SUMPRODUCT((파견수련계획!$Q$4:$Q$83=TRIM($J53&amp;""))*(파견수련계획!$S$4:$S$83="구리병원")*파견수련계획!$W$4:$W$83))+IF($AG53="구리병원",MAX(0,DAY(EOMONTH(요약!$B$3,0))-N($X53)),0))</f>
        <v/>
      </c>
      <c r="AJ53" s="10">
        <f>IF(OR($B53="",TRIM($J53&amp;"")=""),"",IFERROR(MATCH(TRIM($J53&amp;"")&amp;"|월",파견수련계획!$Z$4:$Z$83,0),""))</f>
        <v/>
      </c>
      <c r="AK53" s="10">
        <f>IF(OR($B53="",TRIM($J53&amp;"")=""),"",IFERROR(MATCH(TRIM($J53&amp;"")&amp;"|다기관",파견수련계획!$AE$4:$AE$83,0),""))</f>
        <v/>
      </c>
      <c r="AL53" s="10">
        <f>IF($AK53="","","다기관 "&amp;TEXT(INDEX(파견수련계획!$AB$4:$AB$83,$AK53),"yyyy-mm-dd")&amp;"~"&amp;IF(ISNUMBER(INDEX(파견수련계획!$AC$4:$AC$83,$AK53)),TEXT(INDEX(파견수련계획!$AC$4:$AC$83,$AK53),"yyyy-mm-dd"),""))</f>
        <v/>
      </c>
    </row>
    <row r="54">
      <c r="A54" s="10">
        <f>IF(B54="","",ROW()-1)</f>
        <v/>
      </c>
      <c r="B54" s="18" t="n"/>
      <c r="C54" s="10">
        <f>IF($AB54="","",IF(INDEX(기본자료!$C$2:$C$301,$AB54)="","",INDEX(기본자료!$C$2:$C$301,$AB54)))</f>
        <v/>
      </c>
      <c r="D54" s="10">
        <f>IF($AB54="","",IF(INDEX(기본자료!$J$2:$J$301,$AB54)="","",INDEX(기본자료!$J$2:$J$301,$AB54)))</f>
        <v/>
      </c>
      <c r="E54" s="11">
        <f>IF($AB54="","",IF(INDEX(기본자료!$K$2:$K$301,$AB54)="","",IF(NOT(ISNUMBER(INDEX(기본자료!$K$2:$K$301,$AB54))),INDEX(기본자료!$K$2:$K$301,$AB54),IF(INDEX(기본자료!$K$2:$K$301,$AB54)&lt;1000000,INDEX(기본자료!$K$2:$K$301,$AB54),IF(AND(INDEX(기본자료!$K$2:$K$301,$AB54)&gt;=10000101,INT(MOD(INDEX(기본자료!$K$2:$K$301,$AB54),10000)/100)&gt;=1,INT(MOD(INDEX(기본자료!$K$2:$K$301,$AB54),10000)/100)&lt;=12,MOD(INDEX(기본자료!$K$2:$K$301,$AB54),100)&gt;=1,MOD(INDEX(기본자료!$K$2:$K$301,$AB54),100)&lt;=31),DATE(INT(INDEX(기본자료!$K$2:$K$301,$AB54)/10000),INT(MOD(INDEX(기본자료!$K$2:$K$301,$AB54),10000)/100),MOD(INDEX(기본자료!$K$2:$K$301,$AB54),100)),INDEX(기본자료!$K$2:$K$301,$AB54)&amp;"")))))</f>
        <v/>
      </c>
      <c r="F54" s="10">
        <f>IF($AB54="","",IF(INDEX(기본자료!$D$2:$D$301,$AB54)="","",INDEX(기본자료!$D$2:$D$301,$AB54)))</f>
        <v/>
      </c>
      <c r="G54" s="10">
        <f>IF($AB54="","",IF(INDEX(기본자료!$E$2:$E$301,$AB54)="","",INDEX(기본자료!$E$2:$E$301,$AB54)))</f>
        <v/>
      </c>
      <c r="H54" s="10">
        <f>IF($AB54="","",IF(INDEX(기본자료!$F$2:$F$301,$AB54)="","",INDEX(기본자료!$F$2:$F$301,$AB54)))</f>
        <v/>
      </c>
      <c r="I54" s="11">
        <f>IF($AB54="","",IF(INDEX(기본자료!$G$2:$G$301,$AB54)="","",IF(NOT(ISNUMBER(INDEX(기본자료!$G$2:$G$301,$AB54))),INDEX(기본자료!$G$2:$G$301,$AB54),IF(INDEX(기본자료!$G$2:$G$301,$AB54)&lt;1000000,INDEX(기본자료!$G$2:$G$301,$AB54),IF(AND(INDEX(기본자료!$G$2:$G$301,$AB54)&gt;=10000101,INT(MOD(INDEX(기본자료!$G$2:$G$301,$AB54),10000)/100)&gt;=1,INT(MOD(INDEX(기본자료!$G$2:$G$301,$AB54),10000)/100)&lt;=12,MOD(INDEX(기본자료!$G$2:$G$301,$AB54),100)&gt;=1,MOD(INDEX(기본자료!$G$2:$G$301,$AB54),100)&lt;=31),DATE(INT(INDEX(기본자료!$G$2:$G$301,$AB54)/10000),INT(MOD(INDEX(기본자료!$G$2:$G$301,$AB54),10000)/100),MOD(INDEX(기본자료!$G$2:$G$301,$AB54),100)),INDEX(기본자료!$G$2:$G$301,$AB54)&amp;"")))))</f>
        <v/>
      </c>
      <c r="J54" s="10">
        <f>IF($AB54="","",IF(INDEX(기본자료!$H$2:$H$301,$AB54)="","",INDEX(기본자료!$H$2:$H$301,$AB54)))</f>
        <v/>
      </c>
      <c r="K54" s="10">
        <f>IF($AB54="","",IF(INDEX(기본자료!$I$2:$I$301,$AB54)="","",INDEX(기본자료!$I$2:$I$301,$AB54)))</f>
        <v/>
      </c>
      <c r="L54" s="10">
        <f>IF($AB54="","",IF(INDEX(기본자료!$A$2:$A$301,$AB54)="","",INDEX(기본자료!$A$2:$A$301,$AB54)))</f>
        <v/>
      </c>
      <c r="M54" s="15" t="n"/>
      <c r="N54" s="10">
        <f>IF($B54="","",IF(AND($U54="파견중",$Q54&lt;&gt;""),$Q54,IF(AND($AD54&lt;&gt;"",LEFT($AD54,1)&lt;&gt;"⚠"),LEFT($AD54,FIND(" ",$AD54)-1),IF($H54="","",IF(RIGHT($H54,2)="병원",$H54,$H54&amp;"병원")))))</f>
        <v/>
      </c>
      <c r="O54" s="10">
        <f>IF($B54="","",IF(AND($U54="파견중",$Q54&lt;&gt;""),IF($R54&lt;&gt;"",$R54,"파견과 미입력"),IF(AND($AD54&lt;&gt;"",LEFT($AD54,1)&lt;&gt;"⚠"),MID($AD54,FIND(" ",$AD54)+1,60),IF($F54="","",IF($F54="인턴","수련교육부(인턴)",$F54)))))</f>
        <v/>
      </c>
      <c r="P54" s="10">
        <f>IF($B54="","",IF($AK54&lt;&gt;"",IF(AND(TODAY()&gt;=INDEX(파견수련계획!$AB$4:$AB$83,$AK54),OR(NOT(ISNUMBER(INDEX(파견수련계획!$AC$4:$AC$83,$AK54))),TODAY()&lt;=INDEX(파견수련계획!$AC$4:$AC$83,$AK54))),"다기관",IF($AF54="","",INDEX(파견수련계획!$T$4:$T$83,$AF54))),IF($AF54="","",INDEX(파견수련계획!$T$4:$T$83,$AF54))))</f>
        <v/>
      </c>
      <c r="Q54" s="10">
        <f>IF($AF54="","",INDEX(파견수련계획!$S$4:$S$83,$AF54))</f>
        <v/>
      </c>
      <c r="R54" s="10">
        <f>IF($AF54="","",INDEX(파견수련계획!$U$4:$U$83,$AF54))</f>
        <v/>
      </c>
      <c r="S54" s="11">
        <f>IF($AF54="","",IF(INDEX(파견수련계획!$H$4:$H$83,$AF54)="","",INDEX(파견수련계획!$H$4:$H$83,$AF54)))</f>
        <v/>
      </c>
      <c r="T54" s="11">
        <f>IF($AF54="","",IF(INDEX(파견수련계획!$I$4:$I$83,$AF54)="","",INDEX(파견수련계획!$I$4:$I$83,$AF54)))</f>
        <v/>
      </c>
      <c r="U54" s="10">
        <f>IF($AF54="","",INDEX(파견수련계획!$X$4:$X$83,$AF54))</f>
        <v/>
      </c>
      <c r="V54" s="17">
        <f>IF($AF54="","",INDEX(파견수련계획!$V$4:$V$83,$AF54))</f>
        <v/>
      </c>
      <c r="W54" s="17">
        <f>IF(AND($U54="파견중",$T54&lt;&gt;""),$T54-TODAY(),"")</f>
        <v/>
      </c>
      <c r="X54" s="17">
        <f>IF(OR($B54="",TRIM($J54&amp;"")=""),"",SUMPRODUCT((파견수련계획!$Q$4:$Q$83=TRIM($J54&amp;""))*파견수련계획!$W$4:$W$83))</f>
        <v/>
      </c>
      <c r="Y54" s="10">
        <f>IF($B54="","",IF($AG54="","",IF(IF(TRIM($J54&amp;"")="",0,SUMPRODUCT((파견수련계획!$Q$4:$Q$83=TRIM($J54&amp;""))*파견수련계획!$AD$4:$AD$83))&gt;0,$AE54,IF(N($X54)&lt;=0,$AG54,IF($AH54+$AI54=DAY(EOMONTH(요약!$B$3,0)),IF(AND($AH54&gt;=요약!$E$3,$AI54&lt;요약!$E$3),"서울병원",IF(AND($AI54&gt;=요약!$E$3,$AH54&lt;요약!$E$3),"구리병원","⚠15일 판정불가(서울 "&amp;$AH54&amp;"일/구리 "&amp;$AI54&amp;"일)")),IF($AJ54="",$AE54,IF(INDEX(파견수련계획!$T$4:$T$83,$AJ54)="통합수련",INDEX(파견수련계획!$S$4:$S$83,$AJ54),$AE54)))))))</f>
        <v/>
      </c>
      <c r="Z54" s="19">
        <f>IF($B54="","",IF($AB54="","기본자료에 없는 사번",IF(COUNTIF($B$2:$B$61,$B54)&gt;1,"중복 사번",IF($AE54="","소속(입사장소) 입력",IF(IF(TRIM($J54&amp;"")="",0,SUMPRODUCT((파견수련계획!$Q$4:$Q$83=TRIM($J54&amp;""))*(파견수련계획!$AA$4:$AA$83&lt;&gt;"")))&gt;0,"파견수련계획 입력오류 확인",IF(LEFT($Y54,1)="⚠","서울·구리 15일 판정 불가(양쪽 모두 이상/미만)",IF(IF($AC54="",0,N(INDEX(인턴근무계획!$T$3:$T$62,$AC54)))&gt;0,"인턴계획 입력오류 확인",IF(AND($AC54&lt;&gt;"",$U54&lt;&gt;"파견중",$N54&lt;&gt;$AE54),"인턴 타지역 근무: 파견 여부 확인","정상"))))))))</f>
        <v/>
      </c>
      <c r="AA54" s="5" t="n"/>
      <c r="AB54" s="10">
        <f>IF($B54="","",IFERROR(MATCH($B54,기본자료!$B$2:$B$301,0),IFERROR(MATCH($B54&amp;"",기본자료!$B$2:$B$301,0),IFERROR(MATCH(VALUE($B54),기본자료!$B$2:$B$301,0),""))))</f>
        <v/>
      </c>
      <c r="AC54" s="10">
        <f>IF($B54="","",IFERROR(MATCH($B54,인턴근무계획!$D$3:$D$62,0),IFERROR(MATCH($B54&amp;"",인턴근무계획!$D$3:$D$62,0),IFERROR(MATCH(VALUE($B54),인턴근무계획!$D$3:$D$62,0),""))))</f>
        <v/>
      </c>
      <c r="AD54" s="10">
        <f>IF(OR($AC54="",인턴현황!$G$3=""),"",INDEX(인턴근무계획!$M$3:$R$62,$AC54,인턴현황!$G$3)&amp;"")</f>
        <v/>
      </c>
      <c r="AE54" s="10">
        <f>IF($B54="","",IF($M54&lt;&gt;"",$M54,IF($AF54&lt;&gt;"",IF(LEFT(INDEX(파견수련계획!$R$4:$R$83,$AF54),1)&lt;&gt;"⚠",INDEX(파견수련계획!$R$4:$R$83,$AF54),IF($H54="","",IF(RIGHT($H54,2)="병원",$H54,$H54&amp;"병원"))),IF($H54="","",IF(RIGHT($H54,2)="병원",$H54,$H54&amp;"병원")))))</f>
        <v/>
      </c>
      <c r="AF54" s="10">
        <f>IF(OR($B54="",TRIM($J54&amp;"")=""),"",IFERROR(MATCH(TRIM($J54&amp;"")&amp;"|파견중",파견수련계획!$Y$4:$Y$83,0),IFERROR(MATCH(TRIM($J54&amp;"")&amp;"|파견예정",파견수련계획!$Y$4:$Y$83,0),IFERROR(MATCH(TRIM($J54&amp;"")&amp;"|파견종료",파견수련계획!$Y$4:$Y$83,0),""))))</f>
        <v/>
      </c>
      <c r="AG54" s="10">
        <f>IF($B54="","",IF(AND(IF(OR($AC54="",인턴현황!$K$2=""),"",INDEX(인턴근무계획!$M$3:$R$62,$AC54,인턴현황!$K$2)&amp;"")&lt;&gt;"",LEFT(IF(OR($AC54="",인턴현황!$K$2=""),"",INDEX(인턴근무계획!$M$3:$R$62,$AC54,인턴현황!$K$2)&amp;""),1)&lt;&gt;"⚠"),LEFT(IF(OR($AC54="",인턴현황!$K$2=""),"",INDEX(인턴근무계획!$M$3:$R$62,$AC54,인턴현황!$K$2)&amp;""),FIND(" ",IF(OR($AC54="",인턴현황!$K$2=""),"",INDEX(인턴근무계획!$M$3:$R$62,$AC54,인턴현황!$K$2)&amp;""))-1),$AE54))</f>
        <v/>
      </c>
      <c r="AH54" s="17">
        <f>IF($B54="","",IF(TRIM($J54&amp;"")="",0,SUMPRODUCT((파견수련계획!$Q$4:$Q$83=TRIM($J54&amp;""))*(파견수련계획!$S$4:$S$83="서울병원")*파견수련계획!$W$4:$W$83))+IF($AG54="서울병원",MAX(0,DAY(EOMONTH(요약!$B$3,0))-N($X54)),0))</f>
        <v/>
      </c>
      <c r="AI54" s="17">
        <f>IF($B54="","",IF(TRIM($J54&amp;"")="",0,SUMPRODUCT((파견수련계획!$Q$4:$Q$83=TRIM($J54&amp;""))*(파견수련계획!$S$4:$S$83="구리병원")*파견수련계획!$W$4:$W$83))+IF($AG54="구리병원",MAX(0,DAY(EOMONTH(요약!$B$3,0))-N($X54)),0))</f>
        <v/>
      </c>
      <c r="AJ54" s="10">
        <f>IF(OR($B54="",TRIM($J54&amp;"")=""),"",IFERROR(MATCH(TRIM($J54&amp;"")&amp;"|월",파견수련계획!$Z$4:$Z$83,0),""))</f>
        <v/>
      </c>
      <c r="AK54" s="10">
        <f>IF(OR($B54="",TRIM($J54&amp;"")=""),"",IFERROR(MATCH(TRIM($J54&amp;"")&amp;"|다기관",파견수련계획!$AE$4:$AE$83,0),""))</f>
        <v/>
      </c>
      <c r="AL54" s="10">
        <f>IF($AK54="","","다기관 "&amp;TEXT(INDEX(파견수련계획!$AB$4:$AB$83,$AK54),"yyyy-mm-dd")&amp;"~"&amp;IF(ISNUMBER(INDEX(파견수련계획!$AC$4:$AC$83,$AK54)),TEXT(INDEX(파견수련계획!$AC$4:$AC$83,$AK54),"yyyy-mm-dd"),""))</f>
        <v/>
      </c>
    </row>
    <row r="55">
      <c r="A55" s="10">
        <f>IF(B55="","",ROW()-1)</f>
        <v/>
      </c>
      <c r="B55" s="18" t="n"/>
      <c r="C55" s="10">
        <f>IF($AB55="","",IF(INDEX(기본자료!$C$2:$C$301,$AB55)="","",INDEX(기본자료!$C$2:$C$301,$AB55)))</f>
        <v/>
      </c>
      <c r="D55" s="10">
        <f>IF($AB55="","",IF(INDEX(기본자료!$J$2:$J$301,$AB55)="","",INDEX(기본자료!$J$2:$J$301,$AB55)))</f>
        <v/>
      </c>
      <c r="E55" s="11">
        <f>IF($AB55="","",IF(INDEX(기본자료!$K$2:$K$301,$AB55)="","",IF(NOT(ISNUMBER(INDEX(기본자료!$K$2:$K$301,$AB55))),INDEX(기본자료!$K$2:$K$301,$AB55),IF(INDEX(기본자료!$K$2:$K$301,$AB55)&lt;1000000,INDEX(기본자료!$K$2:$K$301,$AB55),IF(AND(INDEX(기본자료!$K$2:$K$301,$AB55)&gt;=10000101,INT(MOD(INDEX(기본자료!$K$2:$K$301,$AB55),10000)/100)&gt;=1,INT(MOD(INDEX(기본자료!$K$2:$K$301,$AB55),10000)/100)&lt;=12,MOD(INDEX(기본자료!$K$2:$K$301,$AB55),100)&gt;=1,MOD(INDEX(기본자료!$K$2:$K$301,$AB55),100)&lt;=31),DATE(INT(INDEX(기본자료!$K$2:$K$301,$AB55)/10000),INT(MOD(INDEX(기본자료!$K$2:$K$301,$AB55),10000)/100),MOD(INDEX(기본자료!$K$2:$K$301,$AB55),100)),INDEX(기본자료!$K$2:$K$301,$AB55)&amp;"")))))</f>
        <v/>
      </c>
      <c r="F55" s="10">
        <f>IF($AB55="","",IF(INDEX(기본자료!$D$2:$D$301,$AB55)="","",INDEX(기본자료!$D$2:$D$301,$AB55)))</f>
        <v/>
      </c>
      <c r="G55" s="10">
        <f>IF($AB55="","",IF(INDEX(기본자료!$E$2:$E$301,$AB55)="","",INDEX(기본자료!$E$2:$E$301,$AB55)))</f>
        <v/>
      </c>
      <c r="H55" s="10">
        <f>IF($AB55="","",IF(INDEX(기본자료!$F$2:$F$301,$AB55)="","",INDEX(기본자료!$F$2:$F$301,$AB55)))</f>
        <v/>
      </c>
      <c r="I55" s="11">
        <f>IF($AB55="","",IF(INDEX(기본자료!$G$2:$G$301,$AB55)="","",IF(NOT(ISNUMBER(INDEX(기본자료!$G$2:$G$301,$AB55))),INDEX(기본자료!$G$2:$G$301,$AB55),IF(INDEX(기본자료!$G$2:$G$301,$AB55)&lt;1000000,INDEX(기본자료!$G$2:$G$301,$AB55),IF(AND(INDEX(기본자료!$G$2:$G$301,$AB55)&gt;=10000101,INT(MOD(INDEX(기본자료!$G$2:$G$301,$AB55),10000)/100)&gt;=1,INT(MOD(INDEX(기본자료!$G$2:$G$301,$AB55),10000)/100)&lt;=12,MOD(INDEX(기본자료!$G$2:$G$301,$AB55),100)&gt;=1,MOD(INDEX(기본자료!$G$2:$G$301,$AB55),100)&lt;=31),DATE(INT(INDEX(기본자료!$G$2:$G$301,$AB55)/10000),INT(MOD(INDEX(기본자료!$G$2:$G$301,$AB55),10000)/100),MOD(INDEX(기본자료!$G$2:$G$301,$AB55),100)),INDEX(기본자료!$G$2:$G$301,$AB55)&amp;"")))))</f>
        <v/>
      </c>
      <c r="J55" s="10">
        <f>IF($AB55="","",IF(INDEX(기본자료!$H$2:$H$301,$AB55)="","",INDEX(기본자료!$H$2:$H$301,$AB55)))</f>
        <v/>
      </c>
      <c r="K55" s="10">
        <f>IF($AB55="","",IF(INDEX(기본자료!$I$2:$I$301,$AB55)="","",INDEX(기본자료!$I$2:$I$301,$AB55)))</f>
        <v/>
      </c>
      <c r="L55" s="10">
        <f>IF($AB55="","",IF(INDEX(기본자료!$A$2:$A$301,$AB55)="","",INDEX(기본자료!$A$2:$A$301,$AB55)))</f>
        <v/>
      </c>
      <c r="M55" s="15" t="n"/>
      <c r="N55" s="10">
        <f>IF($B55="","",IF(AND($U55="파견중",$Q55&lt;&gt;""),$Q55,IF(AND($AD55&lt;&gt;"",LEFT($AD55,1)&lt;&gt;"⚠"),LEFT($AD55,FIND(" ",$AD55)-1),IF($H55="","",IF(RIGHT($H55,2)="병원",$H55,$H55&amp;"병원")))))</f>
        <v/>
      </c>
      <c r="O55" s="10">
        <f>IF($B55="","",IF(AND($U55="파견중",$Q55&lt;&gt;""),IF($R55&lt;&gt;"",$R55,"파견과 미입력"),IF(AND($AD55&lt;&gt;"",LEFT($AD55,1)&lt;&gt;"⚠"),MID($AD55,FIND(" ",$AD55)+1,60),IF($F55="","",IF($F55="인턴","수련교육부(인턴)",$F55)))))</f>
        <v/>
      </c>
      <c r="P55" s="10">
        <f>IF($B55="","",IF($AK55&lt;&gt;"",IF(AND(TODAY()&gt;=INDEX(파견수련계획!$AB$4:$AB$83,$AK55),OR(NOT(ISNUMBER(INDEX(파견수련계획!$AC$4:$AC$83,$AK55))),TODAY()&lt;=INDEX(파견수련계획!$AC$4:$AC$83,$AK55))),"다기관",IF($AF55="","",INDEX(파견수련계획!$T$4:$T$83,$AF55))),IF($AF55="","",INDEX(파견수련계획!$T$4:$T$83,$AF55))))</f>
        <v/>
      </c>
      <c r="Q55" s="10">
        <f>IF($AF55="","",INDEX(파견수련계획!$S$4:$S$83,$AF55))</f>
        <v/>
      </c>
      <c r="R55" s="10">
        <f>IF($AF55="","",INDEX(파견수련계획!$U$4:$U$83,$AF55))</f>
        <v/>
      </c>
      <c r="S55" s="11">
        <f>IF($AF55="","",IF(INDEX(파견수련계획!$H$4:$H$83,$AF55)="","",INDEX(파견수련계획!$H$4:$H$83,$AF55)))</f>
        <v/>
      </c>
      <c r="T55" s="11">
        <f>IF($AF55="","",IF(INDEX(파견수련계획!$I$4:$I$83,$AF55)="","",INDEX(파견수련계획!$I$4:$I$83,$AF55)))</f>
        <v/>
      </c>
      <c r="U55" s="10">
        <f>IF($AF55="","",INDEX(파견수련계획!$X$4:$X$83,$AF55))</f>
        <v/>
      </c>
      <c r="V55" s="17">
        <f>IF($AF55="","",INDEX(파견수련계획!$V$4:$V$83,$AF55))</f>
        <v/>
      </c>
      <c r="W55" s="17">
        <f>IF(AND($U55="파견중",$T55&lt;&gt;""),$T55-TODAY(),"")</f>
        <v/>
      </c>
      <c r="X55" s="17">
        <f>IF(OR($B55="",TRIM($J55&amp;"")=""),"",SUMPRODUCT((파견수련계획!$Q$4:$Q$83=TRIM($J55&amp;""))*파견수련계획!$W$4:$W$83))</f>
        <v/>
      </c>
      <c r="Y55" s="10">
        <f>IF($B55="","",IF($AG55="","",IF(IF(TRIM($J55&amp;"")="",0,SUMPRODUCT((파견수련계획!$Q$4:$Q$83=TRIM($J55&amp;""))*파견수련계획!$AD$4:$AD$83))&gt;0,$AE55,IF(N($X55)&lt;=0,$AG55,IF($AH55+$AI55=DAY(EOMONTH(요약!$B$3,0)),IF(AND($AH55&gt;=요약!$E$3,$AI55&lt;요약!$E$3),"서울병원",IF(AND($AI55&gt;=요약!$E$3,$AH55&lt;요약!$E$3),"구리병원","⚠15일 판정불가(서울 "&amp;$AH55&amp;"일/구리 "&amp;$AI55&amp;"일)")),IF($AJ55="",$AE55,IF(INDEX(파견수련계획!$T$4:$T$83,$AJ55)="통합수련",INDEX(파견수련계획!$S$4:$S$83,$AJ55),$AE55)))))))</f>
        <v/>
      </c>
      <c r="Z55" s="19">
        <f>IF($B55="","",IF($AB55="","기본자료에 없는 사번",IF(COUNTIF($B$2:$B$61,$B55)&gt;1,"중복 사번",IF($AE55="","소속(입사장소) 입력",IF(IF(TRIM($J55&amp;"")="",0,SUMPRODUCT((파견수련계획!$Q$4:$Q$83=TRIM($J55&amp;""))*(파견수련계획!$AA$4:$AA$83&lt;&gt;"")))&gt;0,"파견수련계획 입력오류 확인",IF(LEFT($Y55,1)="⚠","서울·구리 15일 판정 불가(양쪽 모두 이상/미만)",IF(IF($AC55="",0,N(INDEX(인턴근무계획!$T$3:$T$62,$AC55)))&gt;0,"인턴계획 입력오류 확인",IF(AND($AC55&lt;&gt;"",$U55&lt;&gt;"파견중",$N55&lt;&gt;$AE55),"인턴 타지역 근무: 파견 여부 확인","정상"))))))))</f>
        <v/>
      </c>
      <c r="AA55" s="5" t="n"/>
      <c r="AB55" s="10">
        <f>IF($B55="","",IFERROR(MATCH($B55,기본자료!$B$2:$B$301,0),IFERROR(MATCH($B55&amp;"",기본자료!$B$2:$B$301,0),IFERROR(MATCH(VALUE($B55),기본자료!$B$2:$B$301,0),""))))</f>
        <v/>
      </c>
      <c r="AC55" s="10">
        <f>IF($B55="","",IFERROR(MATCH($B55,인턴근무계획!$D$3:$D$62,0),IFERROR(MATCH($B55&amp;"",인턴근무계획!$D$3:$D$62,0),IFERROR(MATCH(VALUE($B55),인턴근무계획!$D$3:$D$62,0),""))))</f>
        <v/>
      </c>
      <c r="AD55" s="10">
        <f>IF(OR($AC55="",인턴현황!$G$3=""),"",INDEX(인턴근무계획!$M$3:$R$62,$AC55,인턴현황!$G$3)&amp;"")</f>
        <v/>
      </c>
      <c r="AE55" s="10">
        <f>IF($B55="","",IF($M55&lt;&gt;"",$M55,IF($AF55&lt;&gt;"",IF(LEFT(INDEX(파견수련계획!$R$4:$R$83,$AF55),1)&lt;&gt;"⚠",INDEX(파견수련계획!$R$4:$R$83,$AF55),IF($H55="","",IF(RIGHT($H55,2)="병원",$H55,$H55&amp;"병원"))),IF($H55="","",IF(RIGHT($H55,2)="병원",$H55,$H55&amp;"병원")))))</f>
        <v/>
      </c>
      <c r="AF55" s="10">
        <f>IF(OR($B55="",TRIM($J55&amp;"")=""),"",IFERROR(MATCH(TRIM($J55&amp;"")&amp;"|파견중",파견수련계획!$Y$4:$Y$83,0),IFERROR(MATCH(TRIM($J55&amp;"")&amp;"|파견예정",파견수련계획!$Y$4:$Y$83,0),IFERROR(MATCH(TRIM($J55&amp;"")&amp;"|파견종료",파견수련계획!$Y$4:$Y$83,0),""))))</f>
        <v/>
      </c>
      <c r="AG55" s="10">
        <f>IF($B55="","",IF(AND(IF(OR($AC55="",인턴현황!$K$2=""),"",INDEX(인턴근무계획!$M$3:$R$62,$AC55,인턴현황!$K$2)&amp;"")&lt;&gt;"",LEFT(IF(OR($AC55="",인턴현황!$K$2=""),"",INDEX(인턴근무계획!$M$3:$R$62,$AC55,인턴현황!$K$2)&amp;""),1)&lt;&gt;"⚠"),LEFT(IF(OR($AC55="",인턴현황!$K$2=""),"",INDEX(인턴근무계획!$M$3:$R$62,$AC55,인턴현황!$K$2)&amp;""),FIND(" ",IF(OR($AC55="",인턴현황!$K$2=""),"",INDEX(인턴근무계획!$M$3:$R$62,$AC55,인턴현황!$K$2)&amp;""))-1),$AE55))</f>
        <v/>
      </c>
      <c r="AH55" s="17">
        <f>IF($B55="","",IF(TRIM($J55&amp;"")="",0,SUMPRODUCT((파견수련계획!$Q$4:$Q$83=TRIM($J55&amp;""))*(파견수련계획!$S$4:$S$83="서울병원")*파견수련계획!$W$4:$W$83))+IF($AG55="서울병원",MAX(0,DAY(EOMONTH(요약!$B$3,0))-N($X55)),0))</f>
        <v/>
      </c>
      <c r="AI55" s="17">
        <f>IF($B55="","",IF(TRIM($J55&amp;"")="",0,SUMPRODUCT((파견수련계획!$Q$4:$Q$83=TRIM($J55&amp;""))*(파견수련계획!$S$4:$S$83="구리병원")*파견수련계획!$W$4:$W$83))+IF($AG55="구리병원",MAX(0,DAY(EOMONTH(요약!$B$3,0))-N($X55)),0))</f>
        <v/>
      </c>
      <c r="AJ55" s="10">
        <f>IF(OR($B55="",TRIM($J55&amp;"")=""),"",IFERROR(MATCH(TRIM($J55&amp;"")&amp;"|월",파견수련계획!$Z$4:$Z$83,0),""))</f>
        <v/>
      </c>
      <c r="AK55" s="10">
        <f>IF(OR($B55="",TRIM($J55&amp;"")=""),"",IFERROR(MATCH(TRIM($J55&amp;"")&amp;"|다기관",파견수련계획!$AE$4:$AE$83,0),""))</f>
        <v/>
      </c>
      <c r="AL55" s="10">
        <f>IF($AK55="","","다기관 "&amp;TEXT(INDEX(파견수련계획!$AB$4:$AB$83,$AK55),"yyyy-mm-dd")&amp;"~"&amp;IF(ISNUMBER(INDEX(파견수련계획!$AC$4:$AC$83,$AK55)),TEXT(INDEX(파견수련계획!$AC$4:$AC$83,$AK55),"yyyy-mm-dd"),""))</f>
        <v/>
      </c>
    </row>
    <row r="56">
      <c r="A56" s="10">
        <f>IF(B56="","",ROW()-1)</f>
        <v/>
      </c>
      <c r="B56" s="18" t="n"/>
      <c r="C56" s="10">
        <f>IF($AB56="","",IF(INDEX(기본자료!$C$2:$C$301,$AB56)="","",INDEX(기본자료!$C$2:$C$301,$AB56)))</f>
        <v/>
      </c>
      <c r="D56" s="10">
        <f>IF($AB56="","",IF(INDEX(기본자료!$J$2:$J$301,$AB56)="","",INDEX(기본자료!$J$2:$J$301,$AB56)))</f>
        <v/>
      </c>
      <c r="E56" s="11">
        <f>IF($AB56="","",IF(INDEX(기본자료!$K$2:$K$301,$AB56)="","",IF(NOT(ISNUMBER(INDEX(기본자료!$K$2:$K$301,$AB56))),INDEX(기본자료!$K$2:$K$301,$AB56),IF(INDEX(기본자료!$K$2:$K$301,$AB56)&lt;1000000,INDEX(기본자료!$K$2:$K$301,$AB56),IF(AND(INDEX(기본자료!$K$2:$K$301,$AB56)&gt;=10000101,INT(MOD(INDEX(기본자료!$K$2:$K$301,$AB56),10000)/100)&gt;=1,INT(MOD(INDEX(기본자료!$K$2:$K$301,$AB56),10000)/100)&lt;=12,MOD(INDEX(기본자료!$K$2:$K$301,$AB56),100)&gt;=1,MOD(INDEX(기본자료!$K$2:$K$301,$AB56),100)&lt;=31),DATE(INT(INDEX(기본자료!$K$2:$K$301,$AB56)/10000),INT(MOD(INDEX(기본자료!$K$2:$K$301,$AB56),10000)/100),MOD(INDEX(기본자료!$K$2:$K$301,$AB56),100)),INDEX(기본자료!$K$2:$K$301,$AB56)&amp;"")))))</f>
        <v/>
      </c>
      <c r="F56" s="10">
        <f>IF($AB56="","",IF(INDEX(기본자료!$D$2:$D$301,$AB56)="","",INDEX(기본자료!$D$2:$D$301,$AB56)))</f>
        <v/>
      </c>
      <c r="G56" s="10">
        <f>IF($AB56="","",IF(INDEX(기본자료!$E$2:$E$301,$AB56)="","",INDEX(기본자료!$E$2:$E$301,$AB56)))</f>
        <v/>
      </c>
      <c r="H56" s="10">
        <f>IF($AB56="","",IF(INDEX(기본자료!$F$2:$F$301,$AB56)="","",INDEX(기본자료!$F$2:$F$301,$AB56)))</f>
        <v/>
      </c>
      <c r="I56" s="11">
        <f>IF($AB56="","",IF(INDEX(기본자료!$G$2:$G$301,$AB56)="","",IF(NOT(ISNUMBER(INDEX(기본자료!$G$2:$G$301,$AB56))),INDEX(기본자료!$G$2:$G$301,$AB56),IF(INDEX(기본자료!$G$2:$G$301,$AB56)&lt;1000000,INDEX(기본자료!$G$2:$G$301,$AB56),IF(AND(INDEX(기본자료!$G$2:$G$301,$AB56)&gt;=10000101,INT(MOD(INDEX(기본자료!$G$2:$G$301,$AB56),10000)/100)&gt;=1,INT(MOD(INDEX(기본자료!$G$2:$G$301,$AB56),10000)/100)&lt;=12,MOD(INDEX(기본자료!$G$2:$G$301,$AB56),100)&gt;=1,MOD(INDEX(기본자료!$G$2:$G$301,$AB56),100)&lt;=31),DATE(INT(INDEX(기본자료!$G$2:$G$301,$AB56)/10000),INT(MOD(INDEX(기본자료!$G$2:$G$301,$AB56),10000)/100),MOD(INDEX(기본자료!$G$2:$G$301,$AB56),100)),INDEX(기본자료!$G$2:$G$301,$AB56)&amp;"")))))</f>
        <v/>
      </c>
      <c r="J56" s="10">
        <f>IF($AB56="","",IF(INDEX(기본자료!$H$2:$H$301,$AB56)="","",INDEX(기본자료!$H$2:$H$301,$AB56)))</f>
        <v/>
      </c>
      <c r="K56" s="10">
        <f>IF($AB56="","",IF(INDEX(기본자료!$I$2:$I$301,$AB56)="","",INDEX(기본자료!$I$2:$I$301,$AB56)))</f>
        <v/>
      </c>
      <c r="L56" s="10">
        <f>IF($AB56="","",IF(INDEX(기본자료!$A$2:$A$301,$AB56)="","",INDEX(기본자료!$A$2:$A$301,$AB56)))</f>
        <v/>
      </c>
      <c r="M56" s="15" t="n"/>
      <c r="N56" s="10">
        <f>IF($B56="","",IF(AND($U56="파견중",$Q56&lt;&gt;""),$Q56,IF(AND($AD56&lt;&gt;"",LEFT($AD56,1)&lt;&gt;"⚠"),LEFT($AD56,FIND(" ",$AD56)-1),IF($H56="","",IF(RIGHT($H56,2)="병원",$H56,$H56&amp;"병원")))))</f>
        <v/>
      </c>
      <c r="O56" s="10">
        <f>IF($B56="","",IF(AND($U56="파견중",$Q56&lt;&gt;""),IF($R56&lt;&gt;"",$R56,"파견과 미입력"),IF(AND($AD56&lt;&gt;"",LEFT($AD56,1)&lt;&gt;"⚠"),MID($AD56,FIND(" ",$AD56)+1,60),IF($F56="","",IF($F56="인턴","수련교육부(인턴)",$F56)))))</f>
        <v/>
      </c>
      <c r="P56" s="10">
        <f>IF($B56="","",IF($AK56&lt;&gt;"",IF(AND(TODAY()&gt;=INDEX(파견수련계획!$AB$4:$AB$83,$AK56),OR(NOT(ISNUMBER(INDEX(파견수련계획!$AC$4:$AC$83,$AK56))),TODAY()&lt;=INDEX(파견수련계획!$AC$4:$AC$83,$AK56))),"다기관",IF($AF56="","",INDEX(파견수련계획!$T$4:$T$83,$AF56))),IF($AF56="","",INDEX(파견수련계획!$T$4:$T$83,$AF56))))</f>
        <v/>
      </c>
      <c r="Q56" s="10">
        <f>IF($AF56="","",INDEX(파견수련계획!$S$4:$S$83,$AF56))</f>
        <v/>
      </c>
      <c r="R56" s="10">
        <f>IF($AF56="","",INDEX(파견수련계획!$U$4:$U$83,$AF56))</f>
        <v/>
      </c>
      <c r="S56" s="11">
        <f>IF($AF56="","",IF(INDEX(파견수련계획!$H$4:$H$83,$AF56)="","",INDEX(파견수련계획!$H$4:$H$83,$AF56)))</f>
        <v/>
      </c>
      <c r="T56" s="11">
        <f>IF($AF56="","",IF(INDEX(파견수련계획!$I$4:$I$83,$AF56)="","",INDEX(파견수련계획!$I$4:$I$83,$AF56)))</f>
        <v/>
      </c>
      <c r="U56" s="10">
        <f>IF($AF56="","",INDEX(파견수련계획!$X$4:$X$83,$AF56))</f>
        <v/>
      </c>
      <c r="V56" s="17">
        <f>IF($AF56="","",INDEX(파견수련계획!$V$4:$V$83,$AF56))</f>
        <v/>
      </c>
      <c r="W56" s="17">
        <f>IF(AND($U56="파견중",$T56&lt;&gt;""),$T56-TODAY(),"")</f>
        <v/>
      </c>
      <c r="X56" s="17">
        <f>IF(OR($B56="",TRIM($J56&amp;"")=""),"",SUMPRODUCT((파견수련계획!$Q$4:$Q$83=TRIM($J56&amp;""))*파견수련계획!$W$4:$W$83))</f>
        <v/>
      </c>
      <c r="Y56" s="10">
        <f>IF($B56="","",IF($AG56="","",IF(IF(TRIM($J56&amp;"")="",0,SUMPRODUCT((파견수련계획!$Q$4:$Q$83=TRIM($J56&amp;""))*파견수련계획!$AD$4:$AD$83))&gt;0,$AE56,IF(N($X56)&lt;=0,$AG56,IF($AH56+$AI56=DAY(EOMONTH(요약!$B$3,0)),IF(AND($AH56&gt;=요약!$E$3,$AI56&lt;요약!$E$3),"서울병원",IF(AND($AI56&gt;=요약!$E$3,$AH56&lt;요약!$E$3),"구리병원","⚠15일 판정불가(서울 "&amp;$AH56&amp;"일/구리 "&amp;$AI56&amp;"일)")),IF($AJ56="",$AE56,IF(INDEX(파견수련계획!$T$4:$T$83,$AJ56)="통합수련",INDEX(파견수련계획!$S$4:$S$83,$AJ56),$AE56)))))))</f>
        <v/>
      </c>
      <c r="Z56" s="19">
        <f>IF($B56="","",IF($AB56="","기본자료에 없는 사번",IF(COUNTIF($B$2:$B$61,$B56)&gt;1,"중복 사번",IF($AE56="","소속(입사장소) 입력",IF(IF(TRIM($J56&amp;"")="",0,SUMPRODUCT((파견수련계획!$Q$4:$Q$83=TRIM($J56&amp;""))*(파견수련계획!$AA$4:$AA$83&lt;&gt;"")))&gt;0,"파견수련계획 입력오류 확인",IF(LEFT($Y56,1)="⚠","서울·구리 15일 판정 불가(양쪽 모두 이상/미만)",IF(IF($AC56="",0,N(INDEX(인턴근무계획!$T$3:$T$62,$AC56)))&gt;0,"인턴계획 입력오류 확인",IF(AND($AC56&lt;&gt;"",$U56&lt;&gt;"파견중",$N56&lt;&gt;$AE56),"인턴 타지역 근무: 파견 여부 확인","정상"))))))))</f>
        <v/>
      </c>
      <c r="AA56" s="5" t="n"/>
      <c r="AB56" s="10">
        <f>IF($B56="","",IFERROR(MATCH($B56,기본자료!$B$2:$B$301,0),IFERROR(MATCH($B56&amp;"",기본자료!$B$2:$B$301,0),IFERROR(MATCH(VALUE($B56),기본자료!$B$2:$B$301,0),""))))</f>
        <v/>
      </c>
      <c r="AC56" s="10">
        <f>IF($B56="","",IFERROR(MATCH($B56,인턴근무계획!$D$3:$D$62,0),IFERROR(MATCH($B56&amp;"",인턴근무계획!$D$3:$D$62,0),IFERROR(MATCH(VALUE($B56),인턴근무계획!$D$3:$D$62,0),""))))</f>
        <v/>
      </c>
      <c r="AD56" s="10">
        <f>IF(OR($AC56="",인턴현황!$G$3=""),"",INDEX(인턴근무계획!$M$3:$R$62,$AC56,인턴현황!$G$3)&amp;"")</f>
        <v/>
      </c>
      <c r="AE56" s="10">
        <f>IF($B56="","",IF($M56&lt;&gt;"",$M56,IF($AF56&lt;&gt;"",IF(LEFT(INDEX(파견수련계획!$R$4:$R$83,$AF56),1)&lt;&gt;"⚠",INDEX(파견수련계획!$R$4:$R$83,$AF56),IF($H56="","",IF(RIGHT($H56,2)="병원",$H56,$H56&amp;"병원"))),IF($H56="","",IF(RIGHT($H56,2)="병원",$H56,$H56&amp;"병원")))))</f>
        <v/>
      </c>
      <c r="AF56" s="10">
        <f>IF(OR($B56="",TRIM($J56&amp;"")=""),"",IFERROR(MATCH(TRIM($J56&amp;"")&amp;"|파견중",파견수련계획!$Y$4:$Y$83,0),IFERROR(MATCH(TRIM($J56&amp;"")&amp;"|파견예정",파견수련계획!$Y$4:$Y$83,0),IFERROR(MATCH(TRIM($J56&amp;"")&amp;"|파견종료",파견수련계획!$Y$4:$Y$83,0),""))))</f>
        <v/>
      </c>
      <c r="AG56" s="10">
        <f>IF($B56="","",IF(AND(IF(OR($AC56="",인턴현황!$K$2=""),"",INDEX(인턴근무계획!$M$3:$R$62,$AC56,인턴현황!$K$2)&amp;"")&lt;&gt;"",LEFT(IF(OR($AC56="",인턴현황!$K$2=""),"",INDEX(인턴근무계획!$M$3:$R$62,$AC56,인턴현황!$K$2)&amp;""),1)&lt;&gt;"⚠"),LEFT(IF(OR($AC56="",인턴현황!$K$2=""),"",INDEX(인턴근무계획!$M$3:$R$62,$AC56,인턴현황!$K$2)&amp;""),FIND(" ",IF(OR($AC56="",인턴현황!$K$2=""),"",INDEX(인턴근무계획!$M$3:$R$62,$AC56,인턴현황!$K$2)&amp;""))-1),$AE56))</f>
        <v/>
      </c>
      <c r="AH56" s="17">
        <f>IF($B56="","",IF(TRIM($J56&amp;"")="",0,SUMPRODUCT((파견수련계획!$Q$4:$Q$83=TRIM($J56&amp;""))*(파견수련계획!$S$4:$S$83="서울병원")*파견수련계획!$W$4:$W$83))+IF($AG56="서울병원",MAX(0,DAY(EOMONTH(요약!$B$3,0))-N($X56)),0))</f>
        <v/>
      </c>
      <c r="AI56" s="17">
        <f>IF($B56="","",IF(TRIM($J56&amp;"")="",0,SUMPRODUCT((파견수련계획!$Q$4:$Q$83=TRIM($J56&amp;""))*(파견수련계획!$S$4:$S$83="구리병원")*파견수련계획!$W$4:$W$83))+IF($AG56="구리병원",MAX(0,DAY(EOMONTH(요약!$B$3,0))-N($X56)),0))</f>
        <v/>
      </c>
      <c r="AJ56" s="10">
        <f>IF(OR($B56="",TRIM($J56&amp;"")=""),"",IFERROR(MATCH(TRIM($J56&amp;"")&amp;"|월",파견수련계획!$Z$4:$Z$83,0),""))</f>
        <v/>
      </c>
      <c r="AK56" s="10">
        <f>IF(OR($B56="",TRIM($J56&amp;"")=""),"",IFERROR(MATCH(TRIM($J56&amp;"")&amp;"|다기관",파견수련계획!$AE$4:$AE$83,0),""))</f>
        <v/>
      </c>
      <c r="AL56" s="10">
        <f>IF($AK56="","","다기관 "&amp;TEXT(INDEX(파견수련계획!$AB$4:$AB$83,$AK56),"yyyy-mm-dd")&amp;"~"&amp;IF(ISNUMBER(INDEX(파견수련계획!$AC$4:$AC$83,$AK56)),TEXT(INDEX(파견수련계획!$AC$4:$AC$83,$AK56),"yyyy-mm-dd"),""))</f>
        <v/>
      </c>
    </row>
    <row r="57">
      <c r="A57" s="10">
        <f>IF(B57="","",ROW()-1)</f>
        <v/>
      </c>
      <c r="B57" s="18" t="n"/>
      <c r="C57" s="10">
        <f>IF($AB57="","",IF(INDEX(기본자료!$C$2:$C$301,$AB57)="","",INDEX(기본자료!$C$2:$C$301,$AB57)))</f>
        <v/>
      </c>
      <c r="D57" s="10">
        <f>IF($AB57="","",IF(INDEX(기본자료!$J$2:$J$301,$AB57)="","",INDEX(기본자료!$J$2:$J$301,$AB57)))</f>
        <v/>
      </c>
      <c r="E57" s="11">
        <f>IF($AB57="","",IF(INDEX(기본자료!$K$2:$K$301,$AB57)="","",IF(NOT(ISNUMBER(INDEX(기본자료!$K$2:$K$301,$AB57))),INDEX(기본자료!$K$2:$K$301,$AB57),IF(INDEX(기본자료!$K$2:$K$301,$AB57)&lt;1000000,INDEX(기본자료!$K$2:$K$301,$AB57),IF(AND(INDEX(기본자료!$K$2:$K$301,$AB57)&gt;=10000101,INT(MOD(INDEX(기본자료!$K$2:$K$301,$AB57),10000)/100)&gt;=1,INT(MOD(INDEX(기본자료!$K$2:$K$301,$AB57),10000)/100)&lt;=12,MOD(INDEX(기본자료!$K$2:$K$301,$AB57),100)&gt;=1,MOD(INDEX(기본자료!$K$2:$K$301,$AB57),100)&lt;=31),DATE(INT(INDEX(기본자료!$K$2:$K$301,$AB57)/10000),INT(MOD(INDEX(기본자료!$K$2:$K$301,$AB57),10000)/100),MOD(INDEX(기본자료!$K$2:$K$301,$AB57),100)),INDEX(기본자료!$K$2:$K$301,$AB57)&amp;"")))))</f>
        <v/>
      </c>
      <c r="F57" s="10">
        <f>IF($AB57="","",IF(INDEX(기본자료!$D$2:$D$301,$AB57)="","",INDEX(기본자료!$D$2:$D$301,$AB57)))</f>
        <v/>
      </c>
      <c r="G57" s="10">
        <f>IF($AB57="","",IF(INDEX(기본자료!$E$2:$E$301,$AB57)="","",INDEX(기본자료!$E$2:$E$301,$AB57)))</f>
        <v/>
      </c>
      <c r="H57" s="10">
        <f>IF($AB57="","",IF(INDEX(기본자료!$F$2:$F$301,$AB57)="","",INDEX(기본자료!$F$2:$F$301,$AB57)))</f>
        <v/>
      </c>
      <c r="I57" s="11">
        <f>IF($AB57="","",IF(INDEX(기본자료!$G$2:$G$301,$AB57)="","",IF(NOT(ISNUMBER(INDEX(기본자료!$G$2:$G$301,$AB57))),INDEX(기본자료!$G$2:$G$301,$AB57),IF(INDEX(기본자료!$G$2:$G$301,$AB57)&lt;1000000,INDEX(기본자료!$G$2:$G$301,$AB57),IF(AND(INDEX(기본자료!$G$2:$G$301,$AB57)&gt;=10000101,INT(MOD(INDEX(기본자료!$G$2:$G$301,$AB57),10000)/100)&gt;=1,INT(MOD(INDEX(기본자료!$G$2:$G$301,$AB57),10000)/100)&lt;=12,MOD(INDEX(기본자료!$G$2:$G$301,$AB57),100)&gt;=1,MOD(INDEX(기본자료!$G$2:$G$301,$AB57),100)&lt;=31),DATE(INT(INDEX(기본자료!$G$2:$G$301,$AB57)/10000),INT(MOD(INDEX(기본자료!$G$2:$G$301,$AB57),10000)/100),MOD(INDEX(기본자료!$G$2:$G$301,$AB57),100)),INDEX(기본자료!$G$2:$G$301,$AB57)&amp;"")))))</f>
        <v/>
      </c>
      <c r="J57" s="10">
        <f>IF($AB57="","",IF(INDEX(기본자료!$H$2:$H$301,$AB57)="","",INDEX(기본자료!$H$2:$H$301,$AB57)))</f>
        <v/>
      </c>
      <c r="K57" s="10">
        <f>IF($AB57="","",IF(INDEX(기본자료!$I$2:$I$301,$AB57)="","",INDEX(기본자료!$I$2:$I$301,$AB57)))</f>
        <v/>
      </c>
      <c r="L57" s="10">
        <f>IF($AB57="","",IF(INDEX(기본자료!$A$2:$A$301,$AB57)="","",INDEX(기본자료!$A$2:$A$301,$AB57)))</f>
        <v/>
      </c>
      <c r="M57" s="15" t="n"/>
      <c r="N57" s="10">
        <f>IF($B57="","",IF(AND($U57="파견중",$Q57&lt;&gt;""),$Q57,IF(AND($AD57&lt;&gt;"",LEFT($AD57,1)&lt;&gt;"⚠"),LEFT($AD57,FIND(" ",$AD57)-1),IF($H57="","",IF(RIGHT($H57,2)="병원",$H57,$H57&amp;"병원")))))</f>
        <v/>
      </c>
      <c r="O57" s="10">
        <f>IF($B57="","",IF(AND($U57="파견중",$Q57&lt;&gt;""),IF($R57&lt;&gt;"",$R57,"파견과 미입력"),IF(AND($AD57&lt;&gt;"",LEFT($AD57,1)&lt;&gt;"⚠"),MID($AD57,FIND(" ",$AD57)+1,60),IF($F57="","",IF($F57="인턴","수련교육부(인턴)",$F57)))))</f>
        <v/>
      </c>
      <c r="P57" s="10">
        <f>IF($B57="","",IF($AK57&lt;&gt;"",IF(AND(TODAY()&gt;=INDEX(파견수련계획!$AB$4:$AB$83,$AK57),OR(NOT(ISNUMBER(INDEX(파견수련계획!$AC$4:$AC$83,$AK57))),TODAY()&lt;=INDEX(파견수련계획!$AC$4:$AC$83,$AK57))),"다기관",IF($AF57="","",INDEX(파견수련계획!$T$4:$T$83,$AF57))),IF($AF57="","",INDEX(파견수련계획!$T$4:$T$83,$AF57))))</f>
        <v/>
      </c>
      <c r="Q57" s="10">
        <f>IF($AF57="","",INDEX(파견수련계획!$S$4:$S$83,$AF57))</f>
        <v/>
      </c>
      <c r="R57" s="10">
        <f>IF($AF57="","",INDEX(파견수련계획!$U$4:$U$83,$AF57))</f>
        <v/>
      </c>
      <c r="S57" s="11">
        <f>IF($AF57="","",IF(INDEX(파견수련계획!$H$4:$H$83,$AF57)="","",INDEX(파견수련계획!$H$4:$H$83,$AF57)))</f>
        <v/>
      </c>
      <c r="T57" s="11">
        <f>IF($AF57="","",IF(INDEX(파견수련계획!$I$4:$I$83,$AF57)="","",INDEX(파견수련계획!$I$4:$I$83,$AF57)))</f>
        <v/>
      </c>
      <c r="U57" s="10">
        <f>IF($AF57="","",INDEX(파견수련계획!$X$4:$X$83,$AF57))</f>
        <v/>
      </c>
      <c r="V57" s="17">
        <f>IF($AF57="","",INDEX(파견수련계획!$V$4:$V$83,$AF57))</f>
        <v/>
      </c>
      <c r="W57" s="17">
        <f>IF(AND($U57="파견중",$T57&lt;&gt;""),$T57-TODAY(),"")</f>
        <v/>
      </c>
      <c r="X57" s="17">
        <f>IF(OR($B57="",TRIM($J57&amp;"")=""),"",SUMPRODUCT((파견수련계획!$Q$4:$Q$83=TRIM($J57&amp;""))*파견수련계획!$W$4:$W$83))</f>
        <v/>
      </c>
      <c r="Y57" s="10">
        <f>IF($B57="","",IF($AG57="","",IF(IF(TRIM($J57&amp;"")="",0,SUMPRODUCT((파견수련계획!$Q$4:$Q$83=TRIM($J57&amp;""))*파견수련계획!$AD$4:$AD$83))&gt;0,$AE57,IF(N($X57)&lt;=0,$AG57,IF($AH57+$AI57=DAY(EOMONTH(요약!$B$3,0)),IF(AND($AH57&gt;=요약!$E$3,$AI57&lt;요약!$E$3),"서울병원",IF(AND($AI57&gt;=요약!$E$3,$AH57&lt;요약!$E$3),"구리병원","⚠15일 판정불가(서울 "&amp;$AH57&amp;"일/구리 "&amp;$AI57&amp;"일)")),IF($AJ57="",$AE57,IF(INDEX(파견수련계획!$T$4:$T$83,$AJ57)="통합수련",INDEX(파견수련계획!$S$4:$S$83,$AJ57),$AE57)))))))</f>
        <v/>
      </c>
      <c r="Z57" s="19">
        <f>IF($B57="","",IF($AB57="","기본자료에 없는 사번",IF(COUNTIF($B$2:$B$61,$B57)&gt;1,"중복 사번",IF($AE57="","소속(입사장소) 입력",IF(IF(TRIM($J57&amp;"")="",0,SUMPRODUCT((파견수련계획!$Q$4:$Q$83=TRIM($J57&amp;""))*(파견수련계획!$AA$4:$AA$83&lt;&gt;"")))&gt;0,"파견수련계획 입력오류 확인",IF(LEFT($Y57,1)="⚠","서울·구리 15일 판정 불가(양쪽 모두 이상/미만)",IF(IF($AC57="",0,N(INDEX(인턴근무계획!$T$3:$T$62,$AC57)))&gt;0,"인턴계획 입력오류 확인",IF(AND($AC57&lt;&gt;"",$U57&lt;&gt;"파견중",$N57&lt;&gt;$AE57),"인턴 타지역 근무: 파견 여부 확인","정상"))))))))</f>
        <v/>
      </c>
      <c r="AA57" s="5" t="n"/>
      <c r="AB57" s="10">
        <f>IF($B57="","",IFERROR(MATCH($B57,기본자료!$B$2:$B$301,0),IFERROR(MATCH($B57&amp;"",기본자료!$B$2:$B$301,0),IFERROR(MATCH(VALUE($B57),기본자료!$B$2:$B$301,0),""))))</f>
        <v/>
      </c>
      <c r="AC57" s="10">
        <f>IF($B57="","",IFERROR(MATCH($B57,인턴근무계획!$D$3:$D$62,0),IFERROR(MATCH($B57&amp;"",인턴근무계획!$D$3:$D$62,0),IFERROR(MATCH(VALUE($B57),인턴근무계획!$D$3:$D$62,0),""))))</f>
        <v/>
      </c>
      <c r="AD57" s="10">
        <f>IF(OR($AC57="",인턴현황!$G$3=""),"",INDEX(인턴근무계획!$M$3:$R$62,$AC57,인턴현황!$G$3)&amp;"")</f>
        <v/>
      </c>
      <c r="AE57" s="10">
        <f>IF($B57="","",IF($M57&lt;&gt;"",$M57,IF($AF57&lt;&gt;"",IF(LEFT(INDEX(파견수련계획!$R$4:$R$83,$AF57),1)&lt;&gt;"⚠",INDEX(파견수련계획!$R$4:$R$83,$AF57),IF($H57="","",IF(RIGHT($H57,2)="병원",$H57,$H57&amp;"병원"))),IF($H57="","",IF(RIGHT($H57,2)="병원",$H57,$H57&amp;"병원")))))</f>
        <v/>
      </c>
      <c r="AF57" s="10">
        <f>IF(OR($B57="",TRIM($J57&amp;"")=""),"",IFERROR(MATCH(TRIM($J57&amp;"")&amp;"|파견중",파견수련계획!$Y$4:$Y$83,0),IFERROR(MATCH(TRIM($J57&amp;"")&amp;"|파견예정",파견수련계획!$Y$4:$Y$83,0),IFERROR(MATCH(TRIM($J57&amp;"")&amp;"|파견종료",파견수련계획!$Y$4:$Y$83,0),""))))</f>
        <v/>
      </c>
      <c r="AG57" s="10">
        <f>IF($B57="","",IF(AND(IF(OR($AC57="",인턴현황!$K$2=""),"",INDEX(인턴근무계획!$M$3:$R$62,$AC57,인턴현황!$K$2)&amp;"")&lt;&gt;"",LEFT(IF(OR($AC57="",인턴현황!$K$2=""),"",INDEX(인턴근무계획!$M$3:$R$62,$AC57,인턴현황!$K$2)&amp;""),1)&lt;&gt;"⚠"),LEFT(IF(OR($AC57="",인턴현황!$K$2=""),"",INDEX(인턴근무계획!$M$3:$R$62,$AC57,인턴현황!$K$2)&amp;""),FIND(" ",IF(OR($AC57="",인턴현황!$K$2=""),"",INDEX(인턴근무계획!$M$3:$R$62,$AC57,인턴현황!$K$2)&amp;""))-1),$AE57))</f>
        <v/>
      </c>
      <c r="AH57" s="17">
        <f>IF($B57="","",IF(TRIM($J57&amp;"")="",0,SUMPRODUCT((파견수련계획!$Q$4:$Q$83=TRIM($J57&amp;""))*(파견수련계획!$S$4:$S$83="서울병원")*파견수련계획!$W$4:$W$83))+IF($AG57="서울병원",MAX(0,DAY(EOMONTH(요약!$B$3,0))-N($X57)),0))</f>
        <v/>
      </c>
      <c r="AI57" s="17">
        <f>IF($B57="","",IF(TRIM($J57&amp;"")="",0,SUMPRODUCT((파견수련계획!$Q$4:$Q$83=TRIM($J57&amp;""))*(파견수련계획!$S$4:$S$83="구리병원")*파견수련계획!$W$4:$W$83))+IF($AG57="구리병원",MAX(0,DAY(EOMONTH(요약!$B$3,0))-N($X57)),0))</f>
        <v/>
      </c>
      <c r="AJ57" s="10">
        <f>IF(OR($B57="",TRIM($J57&amp;"")=""),"",IFERROR(MATCH(TRIM($J57&amp;"")&amp;"|월",파견수련계획!$Z$4:$Z$83,0),""))</f>
        <v/>
      </c>
      <c r="AK57" s="10">
        <f>IF(OR($B57="",TRIM($J57&amp;"")=""),"",IFERROR(MATCH(TRIM($J57&amp;"")&amp;"|다기관",파견수련계획!$AE$4:$AE$83,0),""))</f>
        <v/>
      </c>
      <c r="AL57" s="10">
        <f>IF($AK57="","","다기관 "&amp;TEXT(INDEX(파견수련계획!$AB$4:$AB$83,$AK57),"yyyy-mm-dd")&amp;"~"&amp;IF(ISNUMBER(INDEX(파견수련계획!$AC$4:$AC$83,$AK57)),TEXT(INDEX(파견수련계획!$AC$4:$AC$83,$AK57),"yyyy-mm-dd"),""))</f>
        <v/>
      </c>
    </row>
    <row r="58">
      <c r="A58" s="10">
        <f>IF(B58="","",ROW()-1)</f>
        <v/>
      </c>
      <c r="B58" s="18" t="n"/>
      <c r="C58" s="10">
        <f>IF($AB58="","",IF(INDEX(기본자료!$C$2:$C$301,$AB58)="","",INDEX(기본자료!$C$2:$C$301,$AB58)))</f>
        <v/>
      </c>
      <c r="D58" s="10">
        <f>IF($AB58="","",IF(INDEX(기본자료!$J$2:$J$301,$AB58)="","",INDEX(기본자료!$J$2:$J$301,$AB58)))</f>
        <v/>
      </c>
      <c r="E58" s="11">
        <f>IF($AB58="","",IF(INDEX(기본자료!$K$2:$K$301,$AB58)="","",IF(NOT(ISNUMBER(INDEX(기본자료!$K$2:$K$301,$AB58))),INDEX(기본자료!$K$2:$K$301,$AB58),IF(INDEX(기본자료!$K$2:$K$301,$AB58)&lt;1000000,INDEX(기본자료!$K$2:$K$301,$AB58),IF(AND(INDEX(기본자료!$K$2:$K$301,$AB58)&gt;=10000101,INT(MOD(INDEX(기본자료!$K$2:$K$301,$AB58),10000)/100)&gt;=1,INT(MOD(INDEX(기본자료!$K$2:$K$301,$AB58),10000)/100)&lt;=12,MOD(INDEX(기본자료!$K$2:$K$301,$AB58),100)&gt;=1,MOD(INDEX(기본자료!$K$2:$K$301,$AB58),100)&lt;=31),DATE(INT(INDEX(기본자료!$K$2:$K$301,$AB58)/10000),INT(MOD(INDEX(기본자료!$K$2:$K$301,$AB58),10000)/100),MOD(INDEX(기본자료!$K$2:$K$301,$AB58),100)),INDEX(기본자료!$K$2:$K$301,$AB58)&amp;"")))))</f>
        <v/>
      </c>
      <c r="F58" s="10">
        <f>IF($AB58="","",IF(INDEX(기본자료!$D$2:$D$301,$AB58)="","",INDEX(기본자료!$D$2:$D$301,$AB58)))</f>
        <v/>
      </c>
      <c r="G58" s="10">
        <f>IF($AB58="","",IF(INDEX(기본자료!$E$2:$E$301,$AB58)="","",INDEX(기본자료!$E$2:$E$301,$AB58)))</f>
        <v/>
      </c>
      <c r="H58" s="10">
        <f>IF($AB58="","",IF(INDEX(기본자료!$F$2:$F$301,$AB58)="","",INDEX(기본자료!$F$2:$F$301,$AB58)))</f>
        <v/>
      </c>
      <c r="I58" s="11">
        <f>IF($AB58="","",IF(INDEX(기본자료!$G$2:$G$301,$AB58)="","",IF(NOT(ISNUMBER(INDEX(기본자료!$G$2:$G$301,$AB58))),INDEX(기본자료!$G$2:$G$301,$AB58),IF(INDEX(기본자료!$G$2:$G$301,$AB58)&lt;1000000,INDEX(기본자료!$G$2:$G$301,$AB58),IF(AND(INDEX(기본자료!$G$2:$G$301,$AB58)&gt;=10000101,INT(MOD(INDEX(기본자료!$G$2:$G$301,$AB58),10000)/100)&gt;=1,INT(MOD(INDEX(기본자료!$G$2:$G$301,$AB58),10000)/100)&lt;=12,MOD(INDEX(기본자료!$G$2:$G$301,$AB58),100)&gt;=1,MOD(INDEX(기본자료!$G$2:$G$301,$AB58),100)&lt;=31),DATE(INT(INDEX(기본자료!$G$2:$G$301,$AB58)/10000),INT(MOD(INDEX(기본자료!$G$2:$G$301,$AB58),10000)/100),MOD(INDEX(기본자료!$G$2:$G$301,$AB58),100)),INDEX(기본자료!$G$2:$G$301,$AB58)&amp;"")))))</f>
        <v/>
      </c>
      <c r="J58" s="10">
        <f>IF($AB58="","",IF(INDEX(기본자료!$H$2:$H$301,$AB58)="","",INDEX(기본자료!$H$2:$H$301,$AB58)))</f>
        <v/>
      </c>
      <c r="K58" s="10">
        <f>IF($AB58="","",IF(INDEX(기본자료!$I$2:$I$301,$AB58)="","",INDEX(기본자료!$I$2:$I$301,$AB58)))</f>
        <v/>
      </c>
      <c r="L58" s="10">
        <f>IF($AB58="","",IF(INDEX(기본자료!$A$2:$A$301,$AB58)="","",INDEX(기본자료!$A$2:$A$301,$AB58)))</f>
        <v/>
      </c>
      <c r="M58" s="15" t="n"/>
      <c r="N58" s="10">
        <f>IF($B58="","",IF(AND($U58="파견중",$Q58&lt;&gt;""),$Q58,IF(AND($AD58&lt;&gt;"",LEFT($AD58,1)&lt;&gt;"⚠"),LEFT($AD58,FIND(" ",$AD58)-1),IF($H58="","",IF(RIGHT($H58,2)="병원",$H58,$H58&amp;"병원")))))</f>
        <v/>
      </c>
      <c r="O58" s="10">
        <f>IF($B58="","",IF(AND($U58="파견중",$Q58&lt;&gt;""),IF($R58&lt;&gt;"",$R58,"파견과 미입력"),IF(AND($AD58&lt;&gt;"",LEFT($AD58,1)&lt;&gt;"⚠"),MID($AD58,FIND(" ",$AD58)+1,60),IF($F58="","",IF($F58="인턴","수련교육부(인턴)",$F58)))))</f>
        <v/>
      </c>
      <c r="P58" s="10">
        <f>IF($B58="","",IF($AK58&lt;&gt;"",IF(AND(TODAY()&gt;=INDEX(파견수련계획!$AB$4:$AB$83,$AK58),OR(NOT(ISNUMBER(INDEX(파견수련계획!$AC$4:$AC$83,$AK58))),TODAY()&lt;=INDEX(파견수련계획!$AC$4:$AC$83,$AK58))),"다기관",IF($AF58="","",INDEX(파견수련계획!$T$4:$T$83,$AF58))),IF($AF58="","",INDEX(파견수련계획!$T$4:$T$83,$AF58))))</f>
        <v/>
      </c>
      <c r="Q58" s="10">
        <f>IF($AF58="","",INDEX(파견수련계획!$S$4:$S$83,$AF58))</f>
        <v/>
      </c>
      <c r="R58" s="10">
        <f>IF($AF58="","",INDEX(파견수련계획!$U$4:$U$83,$AF58))</f>
        <v/>
      </c>
      <c r="S58" s="11">
        <f>IF($AF58="","",IF(INDEX(파견수련계획!$H$4:$H$83,$AF58)="","",INDEX(파견수련계획!$H$4:$H$83,$AF58)))</f>
        <v/>
      </c>
      <c r="T58" s="11">
        <f>IF($AF58="","",IF(INDEX(파견수련계획!$I$4:$I$83,$AF58)="","",INDEX(파견수련계획!$I$4:$I$83,$AF58)))</f>
        <v/>
      </c>
      <c r="U58" s="10">
        <f>IF($AF58="","",INDEX(파견수련계획!$X$4:$X$83,$AF58))</f>
        <v/>
      </c>
      <c r="V58" s="17">
        <f>IF($AF58="","",INDEX(파견수련계획!$V$4:$V$83,$AF58))</f>
        <v/>
      </c>
      <c r="W58" s="17">
        <f>IF(AND($U58="파견중",$T58&lt;&gt;""),$T58-TODAY(),"")</f>
        <v/>
      </c>
      <c r="X58" s="17">
        <f>IF(OR($B58="",TRIM($J58&amp;"")=""),"",SUMPRODUCT((파견수련계획!$Q$4:$Q$83=TRIM($J58&amp;""))*파견수련계획!$W$4:$W$83))</f>
        <v/>
      </c>
      <c r="Y58" s="10">
        <f>IF($B58="","",IF($AG58="","",IF(IF(TRIM($J58&amp;"")="",0,SUMPRODUCT((파견수련계획!$Q$4:$Q$83=TRIM($J58&amp;""))*파견수련계획!$AD$4:$AD$83))&gt;0,$AE58,IF(N($X58)&lt;=0,$AG58,IF($AH58+$AI58=DAY(EOMONTH(요약!$B$3,0)),IF(AND($AH58&gt;=요약!$E$3,$AI58&lt;요약!$E$3),"서울병원",IF(AND($AI58&gt;=요약!$E$3,$AH58&lt;요약!$E$3),"구리병원","⚠15일 판정불가(서울 "&amp;$AH58&amp;"일/구리 "&amp;$AI58&amp;"일)")),IF($AJ58="",$AE58,IF(INDEX(파견수련계획!$T$4:$T$83,$AJ58)="통합수련",INDEX(파견수련계획!$S$4:$S$83,$AJ58),$AE58)))))))</f>
        <v/>
      </c>
      <c r="Z58" s="19">
        <f>IF($B58="","",IF($AB58="","기본자료에 없는 사번",IF(COUNTIF($B$2:$B$61,$B58)&gt;1,"중복 사번",IF($AE58="","소속(입사장소) 입력",IF(IF(TRIM($J58&amp;"")="",0,SUMPRODUCT((파견수련계획!$Q$4:$Q$83=TRIM($J58&amp;""))*(파견수련계획!$AA$4:$AA$83&lt;&gt;"")))&gt;0,"파견수련계획 입력오류 확인",IF(LEFT($Y58,1)="⚠","서울·구리 15일 판정 불가(양쪽 모두 이상/미만)",IF(IF($AC58="",0,N(INDEX(인턴근무계획!$T$3:$T$62,$AC58)))&gt;0,"인턴계획 입력오류 확인",IF(AND($AC58&lt;&gt;"",$U58&lt;&gt;"파견중",$N58&lt;&gt;$AE58),"인턴 타지역 근무: 파견 여부 확인","정상"))))))))</f>
        <v/>
      </c>
      <c r="AA58" s="5" t="n"/>
      <c r="AB58" s="10">
        <f>IF($B58="","",IFERROR(MATCH($B58,기본자료!$B$2:$B$301,0),IFERROR(MATCH($B58&amp;"",기본자료!$B$2:$B$301,0),IFERROR(MATCH(VALUE($B58),기본자료!$B$2:$B$301,0),""))))</f>
        <v/>
      </c>
      <c r="AC58" s="10">
        <f>IF($B58="","",IFERROR(MATCH($B58,인턴근무계획!$D$3:$D$62,0),IFERROR(MATCH($B58&amp;"",인턴근무계획!$D$3:$D$62,0),IFERROR(MATCH(VALUE($B58),인턴근무계획!$D$3:$D$62,0),""))))</f>
        <v/>
      </c>
      <c r="AD58" s="10">
        <f>IF(OR($AC58="",인턴현황!$G$3=""),"",INDEX(인턴근무계획!$M$3:$R$62,$AC58,인턴현황!$G$3)&amp;"")</f>
        <v/>
      </c>
      <c r="AE58" s="10">
        <f>IF($B58="","",IF($M58&lt;&gt;"",$M58,IF($AF58&lt;&gt;"",IF(LEFT(INDEX(파견수련계획!$R$4:$R$83,$AF58),1)&lt;&gt;"⚠",INDEX(파견수련계획!$R$4:$R$83,$AF58),IF($H58="","",IF(RIGHT($H58,2)="병원",$H58,$H58&amp;"병원"))),IF($H58="","",IF(RIGHT($H58,2)="병원",$H58,$H58&amp;"병원")))))</f>
        <v/>
      </c>
      <c r="AF58" s="10">
        <f>IF(OR($B58="",TRIM($J58&amp;"")=""),"",IFERROR(MATCH(TRIM($J58&amp;"")&amp;"|파견중",파견수련계획!$Y$4:$Y$83,0),IFERROR(MATCH(TRIM($J58&amp;"")&amp;"|파견예정",파견수련계획!$Y$4:$Y$83,0),IFERROR(MATCH(TRIM($J58&amp;"")&amp;"|파견종료",파견수련계획!$Y$4:$Y$83,0),""))))</f>
        <v/>
      </c>
      <c r="AG58" s="10">
        <f>IF($B58="","",IF(AND(IF(OR($AC58="",인턴현황!$K$2=""),"",INDEX(인턴근무계획!$M$3:$R$62,$AC58,인턴현황!$K$2)&amp;"")&lt;&gt;"",LEFT(IF(OR($AC58="",인턴현황!$K$2=""),"",INDEX(인턴근무계획!$M$3:$R$62,$AC58,인턴현황!$K$2)&amp;""),1)&lt;&gt;"⚠"),LEFT(IF(OR($AC58="",인턴현황!$K$2=""),"",INDEX(인턴근무계획!$M$3:$R$62,$AC58,인턴현황!$K$2)&amp;""),FIND(" ",IF(OR($AC58="",인턴현황!$K$2=""),"",INDEX(인턴근무계획!$M$3:$R$62,$AC58,인턴현황!$K$2)&amp;""))-1),$AE58))</f>
        <v/>
      </c>
      <c r="AH58" s="17">
        <f>IF($B58="","",IF(TRIM($J58&amp;"")="",0,SUMPRODUCT((파견수련계획!$Q$4:$Q$83=TRIM($J58&amp;""))*(파견수련계획!$S$4:$S$83="서울병원")*파견수련계획!$W$4:$W$83))+IF($AG58="서울병원",MAX(0,DAY(EOMONTH(요약!$B$3,0))-N($X58)),0))</f>
        <v/>
      </c>
      <c r="AI58" s="17">
        <f>IF($B58="","",IF(TRIM($J58&amp;"")="",0,SUMPRODUCT((파견수련계획!$Q$4:$Q$83=TRIM($J58&amp;""))*(파견수련계획!$S$4:$S$83="구리병원")*파견수련계획!$W$4:$W$83))+IF($AG58="구리병원",MAX(0,DAY(EOMONTH(요약!$B$3,0))-N($X58)),0))</f>
        <v/>
      </c>
      <c r="AJ58" s="10">
        <f>IF(OR($B58="",TRIM($J58&amp;"")=""),"",IFERROR(MATCH(TRIM($J58&amp;"")&amp;"|월",파견수련계획!$Z$4:$Z$83,0),""))</f>
        <v/>
      </c>
      <c r="AK58" s="10">
        <f>IF(OR($B58="",TRIM($J58&amp;"")=""),"",IFERROR(MATCH(TRIM($J58&amp;"")&amp;"|다기관",파견수련계획!$AE$4:$AE$83,0),""))</f>
        <v/>
      </c>
      <c r="AL58" s="10">
        <f>IF($AK58="","","다기관 "&amp;TEXT(INDEX(파견수련계획!$AB$4:$AB$83,$AK58),"yyyy-mm-dd")&amp;"~"&amp;IF(ISNUMBER(INDEX(파견수련계획!$AC$4:$AC$83,$AK58)),TEXT(INDEX(파견수련계획!$AC$4:$AC$83,$AK58),"yyyy-mm-dd"),""))</f>
        <v/>
      </c>
    </row>
    <row r="59">
      <c r="A59" s="10">
        <f>IF(B59="","",ROW()-1)</f>
        <v/>
      </c>
      <c r="B59" s="18" t="n"/>
      <c r="C59" s="10">
        <f>IF($AB59="","",IF(INDEX(기본자료!$C$2:$C$301,$AB59)="","",INDEX(기본자료!$C$2:$C$301,$AB59)))</f>
        <v/>
      </c>
      <c r="D59" s="10">
        <f>IF($AB59="","",IF(INDEX(기본자료!$J$2:$J$301,$AB59)="","",INDEX(기본자료!$J$2:$J$301,$AB59)))</f>
        <v/>
      </c>
      <c r="E59" s="11">
        <f>IF($AB59="","",IF(INDEX(기본자료!$K$2:$K$301,$AB59)="","",IF(NOT(ISNUMBER(INDEX(기본자료!$K$2:$K$301,$AB59))),INDEX(기본자료!$K$2:$K$301,$AB59),IF(INDEX(기본자료!$K$2:$K$301,$AB59)&lt;1000000,INDEX(기본자료!$K$2:$K$301,$AB59),IF(AND(INDEX(기본자료!$K$2:$K$301,$AB59)&gt;=10000101,INT(MOD(INDEX(기본자료!$K$2:$K$301,$AB59),10000)/100)&gt;=1,INT(MOD(INDEX(기본자료!$K$2:$K$301,$AB59),10000)/100)&lt;=12,MOD(INDEX(기본자료!$K$2:$K$301,$AB59),100)&gt;=1,MOD(INDEX(기본자료!$K$2:$K$301,$AB59),100)&lt;=31),DATE(INT(INDEX(기본자료!$K$2:$K$301,$AB59)/10000),INT(MOD(INDEX(기본자료!$K$2:$K$301,$AB59),10000)/100),MOD(INDEX(기본자료!$K$2:$K$301,$AB59),100)),INDEX(기본자료!$K$2:$K$301,$AB59)&amp;"")))))</f>
        <v/>
      </c>
      <c r="F59" s="10">
        <f>IF($AB59="","",IF(INDEX(기본자료!$D$2:$D$301,$AB59)="","",INDEX(기본자료!$D$2:$D$301,$AB59)))</f>
        <v/>
      </c>
      <c r="G59" s="10">
        <f>IF($AB59="","",IF(INDEX(기본자료!$E$2:$E$301,$AB59)="","",INDEX(기본자료!$E$2:$E$301,$AB59)))</f>
        <v/>
      </c>
      <c r="H59" s="10">
        <f>IF($AB59="","",IF(INDEX(기본자료!$F$2:$F$301,$AB59)="","",INDEX(기본자료!$F$2:$F$301,$AB59)))</f>
        <v/>
      </c>
      <c r="I59" s="11">
        <f>IF($AB59="","",IF(INDEX(기본자료!$G$2:$G$301,$AB59)="","",IF(NOT(ISNUMBER(INDEX(기본자료!$G$2:$G$301,$AB59))),INDEX(기본자료!$G$2:$G$301,$AB59),IF(INDEX(기본자료!$G$2:$G$301,$AB59)&lt;1000000,INDEX(기본자료!$G$2:$G$301,$AB59),IF(AND(INDEX(기본자료!$G$2:$G$301,$AB59)&gt;=10000101,INT(MOD(INDEX(기본자료!$G$2:$G$301,$AB59),10000)/100)&gt;=1,INT(MOD(INDEX(기본자료!$G$2:$G$301,$AB59),10000)/100)&lt;=12,MOD(INDEX(기본자료!$G$2:$G$301,$AB59),100)&gt;=1,MOD(INDEX(기본자료!$G$2:$G$301,$AB59),100)&lt;=31),DATE(INT(INDEX(기본자료!$G$2:$G$301,$AB59)/10000),INT(MOD(INDEX(기본자료!$G$2:$G$301,$AB59),10000)/100),MOD(INDEX(기본자료!$G$2:$G$301,$AB59),100)),INDEX(기본자료!$G$2:$G$301,$AB59)&amp;"")))))</f>
        <v/>
      </c>
      <c r="J59" s="10">
        <f>IF($AB59="","",IF(INDEX(기본자료!$H$2:$H$301,$AB59)="","",INDEX(기본자료!$H$2:$H$301,$AB59)))</f>
        <v/>
      </c>
      <c r="K59" s="10">
        <f>IF($AB59="","",IF(INDEX(기본자료!$I$2:$I$301,$AB59)="","",INDEX(기본자료!$I$2:$I$301,$AB59)))</f>
        <v/>
      </c>
      <c r="L59" s="10">
        <f>IF($AB59="","",IF(INDEX(기본자료!$A$2:$A$301,$AB59)="","",INDEX(기본자료!$A$2:$A$301,$AB59)))</f>
        <v/>
      </c>
      <c r="M59" s="15" t="n"/>
      <c r="N59" s="10">
        <f>IF($B59="","",IF(AND($U59="파견중",$Q59&lt;&gt;""),$Q59,IF(AND($AD59&lt;&gt;"",LEFT($AD59,1)&lt;&gt;"⚠"),LEFT($AD59,FIND(" ",$AD59)-1),IF($H59="","",IF(RIGHT($H59,2)="병원",$H59,$H59&amp;"병원")))))</f>
        <v/>
      </c>
      <c r="O59" s="10">
        <f>IF($B59="","",IF(AND($U59="파견중",$Q59&lt;&gt;""),IF($R59&lt;&gt;"",$R59,"파견과 미입력"),IF(AND($AD59&lt;&gt;"",LEFT($AD59,1)&lt;&gt;"⚠"),MID($AD59,FIND(" ",$AD59)+1,60),IF($F59="","",IF($F59="인턴","수련교육부(인턴)",$F59)))))</f>
        <v/>
      </c>
      <c r="P59" s="10">
        <f>IF($B59="","",IF($AK59&lt;&gt;"",IF(AND(TODAY()&gt;=INDEX(파견수련계획!$AB$4:$AB$83,$AK59),OR(NOT(ISNUMBER(INDEX(파견수련계획!$AC$4:$AC$83,$AK59))),TODAY()&lt;=INDEX(파견수련계획!$AC$4:$AC$83,$AK59))),"다기관",IF($AF59="","",INDEX(파견수련계획!$T$4:$T$83,$AF59))),IF($AF59="","",INDEX(파견수련계획!$T$4:$T$83,$AF59))))</f>
        <v/>
      </c>
      <c r="Q59" s="10">
        <f>IF($AF59="","",INDEX(파견수련계획!$S$4:$S$83,$AF59))</f>
        <v/>
      </c>
      <c r="R59" s="10">
        <f>IF($AF59="","",INDEX(파견수련계획!$U$4:$U$83,$AF59))</f>
        <v/>
      </c>
      <c r="S59" s="11">
        <f>IF($AF59="","",IF(INDEX(파견수련계획!$H$4:$H$83,$AF59)="","",INDEX(파견수련계획!$H$4:$H$83,$AF59)))</f>
        <v/>
      </c>
      <c r="T59" s="11">
        <f>IF($AF59="","",IF(INDEX(파견수련계획!$I$4:$I$83,$AF59)="","",INDEX(파견수련계획!$I$4:$I$83,$AF59)))</f>
        <v/>
      </c>
      <c r="U59" s="10">
        <f>IF($AF59="","",INDEX(파견수련계획!$X$4:$X$83,$AF59))</f>
        <v/>
      </c>
      <c r="V59" s="17">
        <f>IF($AF59="","",INDEX(파견수련계획!$V$4:$V$83,$AF59))</f>
        <v/>
      </c>
      <c r="W59" s="17">
        <f>IF(AND($U59="파견중",$T59&lt;&gt;""),$T59-TODAY(),"")</f>
        <v/>
      </c>
      <c r="X59" s="17">
        <f>IF(OR($B59="",TRIM($J59&amp;"")=""),"",SUMPRODUCT((파견수련계획!$Q$4:$Q$83=TRIM($J59&amp;""))*파견수련계획!$W$4:$W$83))</f>
        <v/>
      </c>
      <c r="Y59" s="10">
        <f>IF($B59="","",IF($AG59="","",IF(IF(TRIM($J59&amp;"")="",0,SUMPRODUCT((파견수련계획!$Q$4:$Q$83=TRIM($J59&amp;""))*파견수련계획!$AD$4:$AD$83))&gt;0,$AE59,IF(N($X59)&lt;=0,$AG59,IF($AH59+$AI59=DAY(EOMONTH(요약!$B$3,0)),IF(AND($AH59&gt;=요약!$E$3,$AI59&lt;요약!$E$3),"서울병원",IF(AND($AI59&gt;=요약!$E$3,$AH59&lt;요약!$E$3),"구리병원","⚠15일 판정불가(서울 "&amp;$AH59&amp;"일/구리 "&amp;$AI59&amp;"일)")),IF($AJ59="",$AE59,IF(INDEX(파견수련계획!$T$4:$T$83,$AJ59)="통합수련",INDEX(파견수련계획!$S$4:$S$83,$AJ59),$AE59)))))))</f>
        <v/>
      </c>
      <c r="Z59" s="19">
        <f>IF($B59="","",IF($AB59="","기본자료에 없는 사번",IF(COUNTIF($B$2:$B$61,$B59)&gt;1,"중복 사번",IF($AE59="","소속(입사장소) 입력",IF(IF(TRIM($J59&amp;"")="",0,SUMPRODUCT((파견수련계획!$Q$4:$Q$83=TRIM($J59&amp;""))*(파견수련계획!$AA$4:$AA$83&lt;&gt;"")))&gt;0,"파견수련계획 입력오류 확인",IF(LEFT($Y59,1)="⚠","서울·구리 15일 판정 불가(양쪽 모두 이상/미만)",IF(IF($AC59="",0,N(INDEX(인턴근무계획!$T$3:$T$62,$AC59)))&gt;0,"인턴계획 입력오류 확인",IF(AND($AC59&lt;&gt;"",$U59&lt;&gt;"파견중",$N59&lt;&gt;$AE59),"인턴 타지역 근무: 파견 여부 확인","정상"))))))))</f>
        <v/>
      </c>
      <c r="AA59" s="5" t="n"/>
      <c r="AB59" s="10">
        <f>IF($B59="","",IFERROR(MATCH($B59,기본자료!$B$2:$B$301,0),IFERROR(MATCH($B59&amp;"",기본자료!$B$2:$B$301,0),IFERROR(MATCH(VALUE($B59),기본자료!$B$2:$B$301,0),""))))</f>
        <v/>
      </c>
      <c r="AC59" s="10">
        <f>IF($B59="","",IFERROR(MATCH($B59,인턴근무계획!$D$3:$D$62,0),IFERROR(MATCH($B59&amp;"",인턴근무계획!$D$3:$D$62,0),IFERROR(MATCH(VALUE($B59),인턴근무계획!$D$3:$D$62,0),""))))</f>
        <v/>
      </c>
      <c r="AD59" s="10">
        <f>IF(OR($AC59="",인턴현황!$G$3=""),"",INDEX(인턴근무계획!$M$3:$R$62,$AC59,인턴현황!$G$3)&amp;"")</f>
        <v/>
      </c>
      <c r="AE59" s="10">
        <f>IF($B59="","",IF($M59&lt;&gt;"",$M59,IF($AF59&lt;&gt;"",IF(LEFT(INDEX(파견수련계획!$R$4:$R$83,$AF59),1)&lt;&gt;"⚠",INDEX(파견수련계획!$R$4:$R$83,$AF59),IF($H59="","",IF(RIGHT($H59,2)="병원",$H59,$H59&amp;"병원"))),IF($H59="","",IF(RIGHT($H59,2)="병원",$H59,$H59&amp;"병원")))))</f>
        <v/>
      </c>
      <c r="AF59" s="10">
        <f>IF(OR($B59="",TRIM($J59&amp;"")=""),"",IFERROR(MATCH(TRIM($J59&amp;"")&amp;"|파견중",파견수련계획!$Y$4:$Y$83,0),IFERROR(MATCH(TRIM($J59&amp;"")&amp;"|파견예정",파견수련계획!$Y$4:$Y$83,0),IFERROR(MATCH(TRIM($J59&amp;"")&amp;"|파견종료",파견수련계획!$Y$4:$Y$83,0),""))))</f>
        <v/>
      </c>
      <c r="AG59" s="10">
        <f>IF($B59="","",IF(AND(IF(OR($AC59="",인턴현황!$K$2=""),"",INDEX(인턴근무계획!$M$3:$R$62,$AC59,인턴현황!$K$2)&amp;"")&lt;&gt;"",LEFT(IF(OR($AC59="",인턴현황!$K$2=""),"",INDEX(인턴근무계획!$M$3:$R$62,$AC59,인턴현황!$K$2)&amp;""),1)&lt;&gt;"⚠"),LEFT(IF(OR($AC59="",인턴현황!$K$2=""),"",INDEX(인턴근무계획!$M$3:$R$62,$AC59,인턴현황!$K$2)&amp;""),FIND(" ",IF(OR($AC59="",인턴현황!$K$2=""),"",INDEX(인턴근무계획!$M$3:$R$62,$AC59,인턴현황!$K$2)&amp;""))-1),$AE59))</f>
        <v/>
      </c>
      <c r="AH59" s="17">
        <f>IF($B59="","",IF(TRIM($J59&amp;"")="",0,SUMPRODUCT((파견수련계획!$Q$4:$Q$83=TRIM($J59&amp;""))*(파견수련계획!$S$4:$S$83="서울병원")*파견수련계획!$W$4:$W$83))+IF($AG59="서울병원",MAX(0,DAY(EOMONTH(요약!$B$3,0))-N($X59)),0))</f>
        <v/>
      </c>
      <c r="AI59" s="17">
        <f>IF($B59="","",IF(TRIM($J59&amp;"")="",0,SUMPRODUCT((파견수련계획!$Q$4:$Q$83=TRIM($J59&amp;""))*(파견수련계획!$S$4:$S$83="구리병원")*파견수련계획!$W$4:$W$83))+IF($AG59="구리병원",MAX(0,DAY(EOMONTH(요약!$B$3,0))-N($X59)),0))</f>
        <v/>
      </c>
      <c r="AJ59" s="10">
        <f>IF(OR($B59="",TRIM($J59&amp;"")=""),"",IFERROR(MATCH(TRIM($J59&amp;"")&amp;"|월",파견수련계획!$Z$4:$Z$83,0),""))</f>
        <v/>
      </c>
      <c r="AK59" s="10">
        <f>IF(OR($B59="",TRIM($J59&amp;"")=""),"",IFERROR(MATCH(TRIM($J59&amp;"")&amp;"|다기관",파견수련계획!$AE$4:$AE$83,0),""))</f>
        <v/>
      </c>
      <c r="AL59" s="10">
        <f>IF($AK59="","","다기관 "&amp;TEXT(INDEX(파견수련계획!$AB$4:$AB$83,$AK59),"yyyy-mm-dd")&amp;"~"&amp;IF(ISNUMBER(INDEX(파견수련계획!$AC$4:$AC$83,$AK59)),TEXT(INDEX(파견수련계획!$AC$4:$AC$83,$AK59),"yyyy-mm-dd"),""))</f>
        <v/>
      </c>
    </row>
    <row r="60">
      <c r="A60" s="10">
        <f>IF(B60="","",ROW()-1)</f>
        <v/>
      </c>
      <c r="B60" s="18" t="n"/>
      <c r="C60" s="10">
        <f>IF($AB60="","",IF(INDEX(기본자료!$C$2:$C$301,$AB60)="","",INDEX(기본자료!$C$2:$C$301,$AB60)))</f>
        <v/>
      </c>
      <c r="D60" s="10">
        <f>IF($AB60="","",IF(INDEX(기본자료!$J$2:$J$301,$AB60)="","",INDEX(기본자료!$J$2:$J$301,$AB60)))</f>
        <v/>
      </c>
      <c r="E60" s="11">
        <f>IF($AB60="","",IF(INDEX(기본자료!$K$2:$K$301,$AB60)="","",IF(NOT(ISNUMBER(INDEX(기본자료!$K$2:$K$301,$AB60))),INDEX(기본자료!$K$2:$K$301,$AB60),IF(INDEX(기본자료!$K$2:$K$301,$AB60)&lt;1000000,INDEX(기본자료!$K$2:$K$301,$AB60),IF(AND(INDEX(기본자료!$K$2:$K$301,$AB60)&gt;=10000101,INT(MOD(INDEX(기본자료!$K$2:$K$301,$AB60),10000)/100)&gt;=1,INT(MOD(INDEX(기본자료!$K$2:$K$301,$AB60),10000)/100)&lt;=12,MOD(INDEX(기본자료!$K$2:$K$301,$AB60),100)&gt;=1,MOD(INDEX(기본자료!$K$2:$K$301,$AB60),100)&lt;=31),DATE(INT(INDEX(기본자료!$K$2:$K$301,$AB60)/10000),INT(MOD(INDEX(기본자료!$K$2:$K$301,$AB60),10000)/100),MOD(INDEX(기본자료!$K$2:$K$301,$AB60),100)),INDEX(기본자료!$K$2:$K$301,$AB60)&amp;"")))))</f>
        <v/>
      </c>
      <c r="F60" s="10">
        <f>IF($AB60="","",IF(INDEX(기본자료!$D$2:$D$301,$AB60)="","",INDEX(기본자료!$D$2:$D$301,$AB60)))</f>
        <v/>
      </c>
      <c r="G60" s="10">
        <f>IF($AB60="","",IF(INDEX(기본자료!$E$2:$E$301,$AB60)="","",INDEX(기본자료!$E$2:$E$301,$AB60)))</f>
        <v/>
      </c>
      <c r="H60" s="10">
        <f>IF($AB60="","",IF(INDEX(기본자료!$F$2:$F$301,$AB60)="","",INDEX(기본자료!$F$2:$F$301,$AB60)))</f>
        <v/>
      </c>
      <c r="I60" s="11">
        <f>IF($AB60="","",IF(INDEX(기본자료!$G$2:$G$301,$AB60)="","",IF(NOT(ISNUMBER(INDEX(기본자료!$G$2:$G$301,$AB60))),INDEX(기본자료!$G$2:$G$301,$AB60),IF(INDEX(기본자료!$G$2:$G$301,$AB60)&lt;1000000,INDEX(기본자료!$G$2:$G$301,$AB60),IF(AND(INDEX(기본자료!$G$2:$G$301,$AB60)&gt;=10000101,INT(MOD(INDEX(기본자료!$G$2:$G$301,$AB60),10000)/100)&gt;=1,INT(MOD(INDEX(기본자료!$G$2:$G$301,$AB60),10000)/100)&lt;=12,MOD(INDEX(기본자료!$G$2:$G$301,$AB60),100)&gt;=1,MOD(INDEX(기본자료!$G$2:$G$301,$AB60),100)&lt;=31),DATE(INT(INDEX(기본자료!$G$2:$G$301,$AB60)/10000),INT(MOD(INDEX(기본자료!$G$2:$G$301,$AB60),10000)/100),MOD(INDEX(기본자료!$G$2:$G$301,$AB60),100)),INDEX(기본자료!$G$2:$G$301,$AB60)&amp;"")))))</f>
        <v/>
      </c>
      <c r="J60" s="10">
        <f>IF($AB60="","",IF(INDEX(기본자료!$H$2:$H$301,$AB60)="","",INDEX(기본자료!$H$2:$H$301,$AB60)))</f>
        <v/>
      </c>
      <c r="K60" s="10">
        <f>IF($AB60="","",IF(INDEX(기본자료!$I$2:$I$301,$AB60)="","",INDEX(기본자료!$I$2:$I$301,$AB60)))</f>
        <v/>
      </c>
      <c r="L60" s="10">
        <f>IF($AB60="","",IF(INDEX(기본자료!$A$2:$A$301,$AB60)="","",INDEX(기본자료!$A$2:$A$301,$AB60)))</f>
        <v/>
      </c>
      <c r="M60" s="15" t="n"/>
      <c r="N60" s="10">
        <f>IF($B60="","",IF(AND($U60="파견중",$Q60&lt;&gt;""),$Q60,IF(AND($AD60&lt;&gt;"",LEFT($AD60,1)&lt;&gt;"⚠"),LEFT($AD60,FIND(" ",$AD60)-1),IF($H60="","",IF(RIGHT($H60,2)="병원",$H60,$H60&amp;"병원")))))</f>
        <v/>
      </c>
      <c r="O60" s="10">
        <f>IF($B60="","",IF(AND($U60="파견중",$Q60&lt;&gt;""),IF($R60&lt;&gt;"",$R60,"파견과 미입력"),IF(AND($AD60&lt;&gt;"",LEFT($AD60,1)&lt;&gt;"⚠"),MID($AD60,FIND(" ",$AD60)+1,60),IF($F60="","",IF($F60="인턴","수련교육부(인턴)",$F60)))))</f>
        <v/>
      </c>
      <c r="P60" s="10">
        <f>IF($B60="","",IF($AK60&lt;&gt;"",IF(AND(TODAY()&gt;=INDEX(파견수련계획!$AB$4:$AB$83,$AK60),OR(NOT(ISNUMBER(INDEX(파견수련계획!$AC$4:$AC$83,$AK60))),TODAY()&lt;=INDEX(파견수련계획!$AC$4:$AC$83,$AK60))),"다기관",IF($AF60="","",INDEX(파견수련계획!$T$4:$T$83,$AF60))),IF($AF60="","",INDEX(파견수련계획!$T$4:$T$83,$AF60))))</f>
        <v/>
      </c>
      <c r="Q60" s="10">
        <f>IF($AF60="","",INDEX(파견수련계획!$S$4:$S$83,$AF60))</f>
        <v/>
      </c>
      <c r="R60" s="10">
        <f>IF($AF60="","",INDEX(파견수련계획!$U$4:$U$83,$AF60))</f>
        <v/>
      </c>
      <c r="S60" s="11">
        <f>IF($AF60="","",IF(INDEX(파견수련계획!$H$4:$H$83,$AF60)="","",INDEX(파견수련계획!$H$4:$H$83,$AF60)))</f>
        <v/>
      </c>
      <c r="T60" s="11">
        <f>IF($AF60="","",IF(INDEX(파견수련계획!$I$4:$I$83,$AF60)="","",INDEX(파견수련계획!$I$4:$I$83,$AF60)))</f>
        <v/>
      </c>
      <c r="U60" s="10">
        <f>IF($AF60="","",INDEX(파견수련계획!$X$4:$X$83,$AF60))</f>
        <v/>
      </c>
      <c r="V60" s="17">
        <f>IF($AF60="","",INDEX(파견수련계획!$V$4:$V$83,$AF60))</f>
        <v/>
      </c>
      <c r="W60" s="17">
        <f>IF(AND($U60="파견중",$T60&lt;&gt;""),$T60-TODAY(),"")</f>
        <v/>
      </c>
      <c r="X60" s="17">
        <f>IF(OR($B60="",TRIM($J60&amp;"")=""),"",SUMPRODUCT((파견수련계획!$Q$4:$Q$83=TRIM($J60&amp;""))*파견수련계획!$W$4:$W$83))</f>
        <v/>
      </c>
      <c r="Y60" s="10">
        <f>IF($B60="","",IF($AG60="","",IF(IF(TRIM($J60&amp;"")="",0,SUMPRODUCT((파견수련계획!$Q$4:$Q$83=TRIM($J60&amp;""))*파견수련계획!$AD$4:$AD$83))&gt;0,$AE60,IF(N($X60)&lt;=0,$AG60,IF($AH60+$AI60=DAY(EOMONTH(요약!$B$3,0)),IF(AND($AH60&gt;=요약!$E$3,$AI60&lt;요약!$E$3),"서울병원",IF(AND($AI60&gt;=요약!$E$3,$AH60&lt;요약!$E$3),"구리병원","⚠15일 판정불가(서울 "&amp;$AH60&amp;"일/구리 "&amp;$AI60&amp;"일)")),IF($AJ60="",$AE60,IF(INDEX(파견수련계획!$T$4:$T$83,$AJ60)="통합수련",INDEX(파견수련계획!$S$4:$S$83,$AJ60),$AE60)))))))</f>
        <v/>
      </c>
      <c r="Z60" s="19">
        <f>IF($B60="","",IF($AB60="","기본자료에 없는 사번",IF(COUNTIF($B$2:$B$61,$B60)&gt;1,"중복 사번",IF($AE60="","소속(입사장소) 입력",IF(IF(TRIM($J60&amp;"")="",0,SUMPRODUCT((파견수련계획!$Q$4:$Q$83=TRIM($J60&amp;""))*(파견수련계획!$AA$4:$AA$83&lt;&gt;"")))&gt;0,"파견수련계획 입력오류 확인",IF(LEFT($Y60,1)="⚠","서울·구리 15일 판정 불가(양쪽 모두 이상/미만)",IF(IF($AC60="",0,N(INDEX(인턴근무계획!$T$3:$T$62,$AC60)))&gt;0,"인턴계획 입력오류 확인",IF(AND($AC60&lt;&gt;"",$U60&lt;&gt;"파견중",$N60&lt;&gt;$AE60),"인턴 타지역 근무: 파견 여부 확인","정상"))))))))</f>
        <v/>
      </c>
      <c r="AA60" s="5" t="n"/>
      <c r="AB60" s="10">
        <f>IF($B60="","",IFERROR(MATCH($B60,기본자료!$B$2:$B$301,0),IFERROR(MATCH($B60&amp;"",기본자료!$B$2:$B$301,0),IFERROR(MATCH(VALUE($B60),기본자료!$B$2:$B$301,0),""))))</f>
        <v/>
      </c>
      <c r="AC60" s="10">
        <f>IF($B60="","",IFERROR(MATCH($B60,인턴근무계획!$D$3:$D$62,0),IFERROR(MATCH($B60&amp;"",인턴근무계획!$D$3:$D$62,0),IFERROR(MATCH(VALUE($B60),인턴근무계획!$D$3:$D$62,0),""))))</f>
        <v/>
      </c>
      <c r="AD60" s="10">
        <f>IF(OR($AC60="",인턴현황!$G$3=""),"",INDEX(인턴근무계획!$M$3:$R$62,$AC60,인턴현황!$G$3)&amp;"")</f>
        <v/>
      </c>
      <c r="AE60" s="10">
        <f>IF($B60="","",IF($M60&lt;&gt;"",$M60,IF($AF60&lt;&gt;"",IF(LEFT(INDEX(파견수련계획!$R$4:$R$83,$AF60),1)&lt;&gt;"⚠",INDEX(파견수련계획!$R$4:$R$83,$AF60),IF($H60="","",IF(RIGHT($H60,2)="병원",$H60,$H60&amp;"병원"))),IF($H60="","",IF(RIGHT($H60,2)="병원",$H60,$H60&amp;"병원")))))</f>
        <v/>
      </c>
      <c r="AF60" s="10">
        <f>IF(OR($B60="",TRIM($J60&amp;"")=""),"",IFERROR(MATCH(TRIM($J60&amp;"")&amp;"|파견중",파견수련계획!$Y$4:$Y$83,0),IFERROR(MATCH(TRIM($J60&amp;"")&amp;"|파견예정",파견수련계획!$Y$4:$Y$83,0),IFERROR(MATCH(TRIM($J60&amp;"")&amp;"|파견종료",파견수련계획!$Y$4:$Y$83,0),""))))</f>
        <v/>
      </c>
      <c r="AG60" s="10">
        <f>IF($B60="","",IF(AND(IF(OR($AC60="",인턴현황!$K$2=""),"",INDEX(인턴근무계획!$M$3:$R$62,$AC60,인턴현황!$K$2)&amp;"")&lt;&gt;"",LEFT(IF(OR($AC60="",인턴현황!$K$2=""),"",INDEX(인턴근무계획!$M$3:$R$62,$AC60,인턴현황!$K$2)&amp;""),1)&lt;&gt;"⚠"),LEFT(IF(OR($AC60="",인턴현황!$K$2=""),"",INDEX(인턴근무계획!$M$3:$R$62,$AC60,인턴현황!$K$2)&amp;""),FIND(" ",IF(OR($AC60="",인턴현황!$K$2=""),"",INDEX(인턴근무계획!$M$3:$R$62,$AC60,인턴현황!$K$2)&amp;""))-1),$AE60))</f>
        <v/>
      </c>
      <c r="AH60" s="17">
        <f>IF($B60="","",IF(TRIM($J60&amp;"")="",0,SUMPRODUCT((파견수련계획!$Q$4:$Q$83=TRIM($J60&amp;""))*(파견수련계획!$S$4:$S$83="서울병원")*파견수련계획!$W$4:$W$83))+IF($AG60="서울병원",MAX(0,DAY(EOMONTH(요약!$B$3,0))-N($X60)),0))</f>
        <v/>
      </c>
      <c r="AI60" s="17">
        <f>IF($B60="","",IF(TRIM($J60&amp;"")="",0,SUMPRODUCT((파견수련계획!$Q$4:$Q$83=TRIM($J60&amp;""))*(파견수련계획!$S$4:$S$83="구리병원")*파견수련계획!$W$4:$W$83))+IF($AG60="구리병원",MAX(0,DAY(EOMONTH(요약!$B$3,0))-N($X60)),0))</f>
        <v/>
      </c>
      <c r="AJ60" s="10">
        <f>IF(OR($B60="",TRIM($J60&amp;"")=""),"",IFERROR(MATCH(TRIM($J60&amp;"")&amp;"|월",파견수련계획!$Z$4:$Z$83,0),""))</f>
        <v/>
      </c>
      <c r="AK60" s="10">
        <f>IF(OR($B60="",TRIM($J60&amp;"")=""),"",IFERROR(MATCH(TRIM($J60&amp;"")&amp;"|다기관",파견수련계획!$AE$4:$AE$83,0),""))</f>
        <v/>
      </c>
      <c r="AL60" s="10">
        <f>IF($AK60="","","다기관 "&amp;TEXT(INDEX(파견수련계획!$AB$4:$AB$83,$AK60),"yyyy-mm-dd")&amp;"~"&amp;IF(ISNUMBER(INDEX(파견수련계획!$AC$4:$AC$83,$AK60)),TEXT(INDEX(파견수련계획!$AC$4:$AC$83,$AK60),"yyyy-mm-dd"),""))</f>
        <v/>
      </c>
    </row>
    <row r="61">
      <c r="A61" s="10">
        <f>IF(B61="","",ROW()-1)</f>
        <v/>
      </c>
      <c r="B61" s="18" t="n"/>
      <c r="C61" s="10">
        <f>IF($AB61="","",IF(INDEX(기본자료!$C$2:$C$301,$AB61)="","",INDEX(기본자료!$C$2:$C$301,$AB61)))</f>
        <v/>
      </c>
      <c r="D61" s="10">
        <f>IF($AB61="","",IF(INDEX(기본자료!$J$2:$J$301,$AB61)="","",INDEX(기본자료!$J$2:$J$301,$AB61)))</f>
        <v/>
      </c>
      <c r="E61" s="11">
        <f>IF($AB61="","",IF(INDEX(기본자료!$K$2:$K$301,$AB61)="","",IF(NOT(ISNUMBER(INDEX(기본자료!$K$2:$K$301,$AB61))),INDEX(기본자료!$K$2:$K$301,$AB61),IF(INDEX(기본자료!$K$2:$K$301,$AB61)&lt;1000000,INDEX(기본자료!$K$2:$K$301,$AB61),IF(AND(INDEX(기본자료!$K$2:$K$301,$AB61)&gt;=10000101,INT(MOD(INDEX(기본자료!$K$2:$K$301,$AB61),10000)/100)&gt;=1,INT(MOD(INDEX(기본자료!$K$2:$K$301,$AB61),10000)/100)&lt;=12,MOD(INDEX(기본자료!$K$2:$K$301,$AB61),100)&gt;=1,MOD(INDEX(기본자료!$K$2:$K$301,$AB61),100)&lt;=31),DATE(INT(INDEX(기본자료!$K$2:$K$301,$AB61)/10000),INT(MOD(INDEX(기본자료!$K$2:$K$301,$AB61),10000)/100),MOD(INDEX(기본자료!$K$2:$K$301,$AB61),100)),INDEX(기본자료!$K$2:$K$301,$AB61)&amp;"")))))</f>
        <v/>
      </c>
      <c r="F61" s="10">
        <f>IF($AB61="","",IF(INDEX(기본자료!$D$2:$D$301,$AB61)="","",INDEX(기본자료!$D$2:$D$301,$AB61)))</f>
        <v/>
      </c>
      <c r="G61" s="10">
        <f>IF($AB61="","",IF(INDEX(기본자료!$E$2:$E$301,$AB61)="","",INDEX(기본자료!$E$2:$E$301,$AB61)))</f>
        <v/>
      </c>
      <c r="H61" s="10">
        <f>IF($AB61="","",IF(INDEX(기본자료!$F$2:$F$301,$AB61)="","",INDEX(기본자료!$F$2:$F$301,$AB61)))</f>
        <v/>
      </c>
      <c r="I61" s="11">
        <f>IF($AB61="","",IF(INDEX(기본자료!$G$2:$G$301,$AB61)="","",IF(NOT(ISNUMBER(INDEX(기본자료!$G$2:$G$301,$AB61))),INDEX(기본자료!$G$2:$G$301,$AB61),IF(INDEX(기본자료!$G$2:$G$301,$AB61)&lt;1000000,INDEX(기본자료!$G$2:$G$301,$AB61),IF(AND(INDEX(기본자료!$G$2:$G$301,$AB61)&gt;=10000101,INT(MOD(INDEX(기본자료!$G$2:$G$301,$AB61),10000)/100)&gt;=1,INT(MOD(INDEX(기본자료!$G$2:$G$301,$AB61),10000)/100)&lt;=12,MOD(INDEX(기본자료!$G$2:$G$301,$AB61),100)&gt;=1,MOD(INDEX(기본자료!$G$2:$G$301,$AB61),100)&lt;=31),DATE(INT(INDEX(기본자료!$G$2:$G$301,$AB61)/10000),INT(MOD(INDEX(기본자료!$G$2:$G$301,$AB61),10000)/100),MOD(INDEX(기본자료!$G$2:$G$301,$AB61),100)),INDEX(기본자료!$G$2:$G$301,$AB61)&amp;"")))))</f>
        <v/>
      </c>
      <c r="J61" s="10">
        <f>IF($AB61="","",IF(INDEX(기본자료!$H$2:$H$301,$AB61)="","",INDEX(기본자료!$H$2:$H$301,$AB61)))</f>
        <v/>
      </c>
      <c r="K61" s="10">
        <f>IF($AB61="","",IF(INDEX(기본자료!$I$2:$I$301,$AB61)="","",INDEX(기본자료!$I$2:$I$301,$AB61)))</f>
        <v/>
      </c>
      <c r="L61" s="10">
        <f>IF($AB61="","",IF(INDEX(기본자료!$A$2:$A$301,$AB61)="","",INDEX(기본자료!$A$2:$A$301,$AB61)))</f>
        <v/>
      </c>
      <c r="M61" s="15" t="n"/>
      <c r="N61" s="10">
        <f>IF($B61="","",IF(AND($U61="파견중",$Q61&lt;&gt;""),$Q61,IF(AND($AD61&lt;&gt;"",LEFT($AD61,1)&lt;&gt;"⚠"),LEFT($AD61,FIND(" ",$AD61)-1),IF($H61="","",IF(RIGHT($H61,2)="병원",$H61,$H61&amp;"병원")))))</f>
        <v/>
      </c>
      <c r="O61" s="10">
        <f>IF($B61="","",IF(AND($U61="파견중",$Q61&lt;&gt;""),IF($R61&lt;&gt;"",$R61,"파견과 미입력"),IF(AND($AD61&lt;&gt;"",LEFT($AD61,1)&lt;&gt;"⚠"),MID($AD61,FIND(" ",$AD61)+1,60),IF($F61="","",IF($F61="인턴","수련교육부(인턴)",$F61)))))</f>
        <v/>
      </c>
      <c r="P61" s="10">
        <f>IF($B61="","",IF($AK61&lt;&gt;"",IF(AND(TODAY()&gt;=INDEX(파견수련계획!$AB$4:$AB$83,$AK61),OR(NOT(ISNUMBER(INDEX(파견수련계획!$AC$4:$AC$83,$AK61))),TODAY()&lt;=INDEX(파견수련계획!$AC$4:$AC$83,$AK61))),"다기관",IF($AF61="","",INDEX(파견수련계획!$T$4:$T$83,$AF61))),IF($AF61="","",INDEX(파견수련계획!$T$4:$T$83,$AF61))))</f>
        <v/>
      </c>
      <c r="Q61" s="10">
        <f>IF($AF61="","",INDEX(파견수련계획!$S$4:$S$83,$AF61))</f>
        <v/>
      </c>
      <c r="R61" s="10">
        <f>IF($AF61="","",INDEX(파견수련계획!$U$4:$U$83,$AF61))</f>
        <v/>
      </c>
      <c r="S61" s="11">
        <f>IF($AF61="","",IF(INDEX(파견수련계획!$H$4:$H$83,$AF61)="","",INDEX(파견수련계획!$H$4:$H$83,$AF61)))</f>
        <v/>
      </c>
      <c r="T61" s="11">
        <f>IF($AF61="","",IF(INDEX(파견수련계획!$I$4:$I$83,$AF61)="","",INDEX(파견수련계획!$I$4:$I$83,$AF61)))</f>
        <v/>
      </c>
      <c r="U61" s="10">
        <f>IF($AF61="","",INDEX(파견수련계획!$X$4:$X$83,$AF61))</f>
        <v/>
      </c>
      <c r="V61" s="17">
        <f>IF($AF61="","",INDEX(파견수련계획!$V$4:$V$83,$AF61))</f>
        <v/>
      </c>
      <c r="W61" s="17">
        <f>IF(AND($U61="파견중",$T61&lt;&gt;""),$T61-TODAY(),"")</f>
        <v/>
      </c>
      <c r="X61" s="17">
        <f>IF(OR($B61="",TRIM($J61&amp;"")=""),"",SUMPRODUCT((파견수련계획!$Q$4:$Q$83=TRIM($J61&amp;""))*파견수련계획!$W$4:$W$83))</f>
        <v/>
      </c>
      <c r="Y61" s="10">
        <f>IF($B61="","",IF($AG61="","",IF(IF(TRIM($J61&amp;"")="",0,SUMPRODUCT((파견수련계획!$Q$4:$Q$83=TRIM($J61&amp;""))*파견수련계획!$AD$4:$AD$83))&gt;0,$AE61,IF(N($X61)&lt;=0,$AG61,IF($AH61+$AI61=DAY(EOMONTH(요약!$B$3,0)),IF(AND($AH61&gt;=요약!$E$3,$AI61&lt;요약!$E$3),"서울병원",IF(AND($AI61&gt;=요약!$E$3,$AH61&lt;요약!$E$3),"구리병원","⚠15일 판정불가(서울 "&amp;$AH61&amp;"일/구리 "&amp;$AI61&amp;"일)")),IF($AJ61="",$AE61,IF(INDEX(파견수련계획!$T$4:$T$83,$AJ61)="통합수련",INDEX(파견수련계획!$S$4:$S$83,$AJ61),$AE61)))))))</f>
        <v/>
      </c>
      <c r="Z61" s="19">
        <f>IF($B61="","",IF($AB61="","기본자료에 없는 사번",IF(COUNTIF($B$2:$B$61,$B61)&gt;1,"중복 사번",IF($AE61="","소속(입사장소) 입력",IF(IF(TRIM($J61&amp;"")="",0,SUMPRODUCT((파견수련계획!$Q$4:$Q$83=TRIM($J61&amp;""))*(파견수련계획!$AA$4:$AA$83&lt;&gt;"")))&gt;0,"파견수련계획 입력오류 확인",IF(LEFT($Y61,1)="⚠","서울·구리 15일 판정 불가(양쪽 모두 이상/미만)",IF(IF($AC61="",0,N(INDEX(인턴근무계획!$T$3:$T$62,$AC61)))&gt;0,"인턴계획 입력오류 확인",IF(AND($AC61&lt;&gt;"",$U61&lt;&gt;"파견중",$N61&lt;&gt;$AE61),"인턴 타지역 근무: 파견 여부 확인","정상"))))))))</f>
        <v/>
      </c>
      <c r="AA61" s="5" t="n"/>
      <c r="AB61" s="10">
        <f>IF($B61="","",IFERROR(MATCH($B61,기본자료!$B$2:$B$301,0),IFERROR(MATCH($B61&amp;"",기본자료!$B$2:$B$301,0),IFERROR(MATCH(VALUE($B61),기본자료!$B$2:$B$301,0),""))))</f>
        <v/>
      </c>
      <c r="AC61" s="10">
        <f>IF($B61="","",IFERROR(MATCH($B61,인턴근무계획!$D$3:$D$62,0),IFERROR(MATCH($B61&amp;"",인턴근무계획!$D$3:$D$62,0),IFERROR(MATCH(VALUE($B61),인턴근무계획!$D$3:$D$62,0),""))))</f>
        <v/>
      </c>
      <c r="AD61" s="10">
        <f>IF(OR($AC61="",인턴현황!$G$3=""),"",INDEX(인턴근무계획!$M$3:$R$62,$AC61,인턴현황!$G$3)&amp;"")</f>
        <v/>
      </c>
      <c r="AE61" s="10">
        <f>IF($B61="","",IF($M61&lt;&gt;"",$M61,IF($AF61&lt;&gt;"",IF(LEFT(INDEX(파견수련계획!$R$4:$R$83,$AF61),1)&lt;&gt;"⚠",INDEX(파견수련계획!$R$4:$R$83,$AF61),IF($H61="","",IF(RIGHT($H61,2)="병원",$H61,$H61&amp;"병원"))),IF($H61="","",IF(RIGHT($H61,2)="병원",$H61,$H61&amp;"병원")))))</f>
        <v/>
      </c>
      <c r="AF61" s="10">
        <f>IF(OR($B61="",TRIM($J61&amp;"")=""),"",IFERROR(MATCH(TRIM($J61&amp;"")&amp;"|파견중",파견수련계획!$Y$4:$Y$83,0),IFERROR(MATCH(TRIM($J61&amp;"")&amp;"|파견예정",파견수련계획!$Y$4:$Y$83,0),IFERROR(MATCH(TRIM($J61&amp;"")&amp;"|파견종료",파견수련계획!$Y$4:$Y$83,0),""))))</f>
        <v/>
      </c>
      <c r="AG61" s="10">
        <f>IF($B61="","",IF(AND(IF(OR($AC61="",인턴현황!$K$2=""),"",INDEX(인턴근무계획!$M$3:$R$62,$AC61,인턴현황!$K$2)&amp;"")&lt;&gt;"",LEFT(IF(OR($AC61="",인턴현황!$K$2=""),"",INDEX(인턴근무계획!$M$3:$R$62,$AC61,인턴현황!$K$2)&amp;""),1)&lt;&gt;"⚠"),LEFT(IF(OR($AC61="",인턴현황!$K$2=""),"",INDEX(인턴근무계획!$M$3:$R$62,$AC61,인턴현황!$K$2)&amp;""),FIND(" ",IF(OR($AC61="",인턴현황!$K$2=""),"",INDEX(인턴근무계획!$M$3:$R$62,$AC61,인턴현황!$K$2)&amp;""))-1),$AE61))</f>
        <v/>
      </c>
      <c r="AH61" s="17">
        <f>IF($B61="","",IF(TRIM($J61&amp;"")="",0,SUMPRODUCT((파견수련계획!$Q$4:$Q$83=TRIM($J61&amp;""))*(파견수련계획!$S$4:$S$83="서울병원")*파견수련계획!$W$4:$W$83))+IF($AG61="서울병원",MAX(0,DAY(EOMONTH(요약!$B$3,0))-N($X61)),0))</f>
        <v/>
      </c>
      <c r="AI61" s="17">
        <f>IF($B61="","",IF(TRIM($J61&amp;"")="",0,SUMPRODUCT((파견수련계획!$Q$4:$Q$83=TRIM($J61&amp;""))*(파견수련계획!$S$4:$S$83="구리병원")*파견수련계획!$W$4:$W$83))+IF($AG61="구리병원",MAX(0,DAY(EOMONTH(요약!$B$3,0))-N($X61)),0))</f>
        <v/>
      </c>
      <c r="AJ61" s="10">
        <f>IF(OR($B61="",TRIM($J61&amp;"")=""),"",IFERROR(MATCH(TRIM($J61&amp;"")&amp;"|월",파견수련계획!$Z$4:$Z$83,0),""))</f>
        <v/>
      </c>
      <c r="AK61" s="10">
        <f>IF(OR($B61="",TRIM($J61&amp;"")=""),"",IFERROR(MATCH(TRIM($J61&amp;"")&amp;"|다기관",파견수련계획!$AE$4:$AE$83,0),""))</f>
        <v/>
      </c>
      <c r="AL61" s="10">
        <f>IF($AK61="","","다기관 "&amp;TEXT(INDEX(파견수련계획!$AB$4:$AB$83,$AK61),"yyyy-mm-dd")&amp;"~"&amp;IF(ISNUMBER(INDEX(파견수련계획!$AC$4:$AC$83,$AK61)),TEXT(INDEX(파견수련계획!$AC$4:$AC$83,$AK61),"yyyy-mm-dd"),""))</f>
        <v/>
      </c>
    </row>
  </sheetData>
  <conditionalFormatting sqref="B2:B61">
    <cfRule type="expression" priority="1" dxfId="3">
      <formula>AND($B2&lt;&gt;"",$AB2="")</formula>
    </cfRule>
    <cfRule type="expression" priority="2" dxfId="4">
      <formula>AND($B2&lt;&gt;"",COUNTIF($B$2:$B$61,$B2)&gt;1)</formula>
    </cfRule>
  </conditionalFormatting>
  <conditionalFormatting sqref="E2:E61">
    <cfRule type="expression" priority="3" dxfId="5">
      <formula>ISTEXT($E2)</formula>
    </cfRule>
  </conditionalFormatting>
  <conditionalFormatting sqref="I2:I61">
    <cfRule type="expression" priority="4" dxfId="5">
      <formula>ISTEXT($I2)</formula>
    </cfRule>
  </conditionalFormatting>
  <conditionalFormatting sqref="Z2:Z61">
    <cfRule type="expression" priority="5" dxfId="6">
      <formula>AND($Z2&lt;&gt;"",$Z2&lt;&gt;"정상")</formula>
    </cfRule>
  </conditionalFormatting>
  <conditionalFormatting sqref="U2:W61">
    <cfRule type="expression" priority="6" dxfId="7">
      <formula>$U2="파견종료"</formula>
    </cfRule>
  </conditionalFormatting>
  <conditionalFormatting sqref="A2:T61">
    <cfRule type="expression" priority="7" dxfId="8">
      <formula>AND($U2="파견중",$W2&lt;&gt;"",$W2&lt;=INDIRECT("요약!$E$2"))</formula>
    </cfRule>
  </conditionalFormatting>
  <conditionalFormatting sqref="U2:U61">
    <cfRule type="expression" priority="8" dxfId="9">
      <formula>$U2="파견중"</formula>
    </cfRule>
    <cfRule type="expression" priority="9" dxfId="10">
      <formula>$U2="파견예정"</formula>
    </cfRule>
  </conditionalFormatting>
  <conditionalFormatting sqref="Y2:Y61">
    <cfRule type="expression" priority="10" dxfId="3">
      <formula>LEFT($Y2,1)="⚠"</formula>
    </cfRule>
    <cfRule type="expression" priority="11" dxfId="11">
      <formula>AND($Y2&lt;&gt;"",$AE2&lt;&gt;"",$Y2&lt;&gt;$AE2)</formula>
    </cfRule>
  </conditionalFormatting>
  <dataValidations count="1">
    <dataValidation sqref="M2:M61" showDropDown="0" showInputMessage="0" showErrorMessage="1" allowBlank="1" errorTitle="등록되지 않은 값" error="병원 목록에 없는 값입니다. 새로운 병원이면 '코드표' 시트에 먼저 추가한 뒤 선택하세요." type="list" errorStyle="stop">
      <formula1>=코드표!$A$2:$A$21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" customWidth="1" min="3" max="3"/>
    <col width="14" customWidth="1" min="4" max="4"/>
    <col width="12" customWidth="1" min="5" max="5"/>
    <col width="14" customWidth="1" min="6" max="6"/>
    <col width="14" customWidth="1" min="7" max="7"/>
    <col width="3" customWidth="1" min="8" max="8"/>
    <col width="20" customWidth="1" min="9" max="9"/>
    <col width="10" customWidth="1" min="10" max="10"/>
  </cols>
  <sheetData>
    <row r="1">
      <c r="A1" s="1" t="inlineStr">
        <is>
          <t>파견 현황 요약</t>
        </is>
      </c>
    </row>
    <row r="2">
      <c r="A2" s="3" t="inlineStr">
        <is>
          <t>기준일</t>
        </is>
      </c>
      <c r="B2" s="20">
        <f>TODAY()</f>
        <v/>
      </c>
      <c r="D2" s="3" t="inlineStr">
        <is>
          <t>종료 임박 기준(일)</t>
        </is>
      </c>
      <c r="E2" s="21" t="n">
        <v>30</v>
      </c>
      <c r="F2" s="2" t="inlineStr">
        <is>
          <t>← 전공의명단 주황색 강조에도 반영</t>
        </is>
      </c>
    </row>
    <row r="3">
      <c r="A3" s="3" t="inlineStr">
        <is>
          <t>급여 기준월(1일)</t>
        </is>
      </c>
      <c r="B3" s="22">
        <f>DATE(YEAR(TODAY()),MONTH(TODAY()),1)</f>
        <v/>
      </c>
      <c r="D3" s="3" t="inlineStr">
        <is>
          <t>서울·구리 15일 기준(일)</t>
        </is>
      </c>
      <c r="E3" s="21" t="n">
        <v>15</v>
      </c>
      <c r="F3" s="2" t="inlineStr">
        <is>
          <t>← 급여 기준월은 다른 달의 1일로 바꿔 입력하면 그 달 기준으로 계산됩니다</t>
        </is>
      </c>
    </row>
    <row r="4" ht="30" customHeight="1">
      <c r="A4" s="12" t="inlineStr">
        <is>
          <t>파견상태</t>
        </is>
      </c>
      <c r="B4" s="12" t="inlineStr">
        <is>
          <t>인원</t>
        </is>
      </c>
      <c r="D4" s="12" t="inlineStr">
        <is>
          <t>병원</t>
        </is>
      </c>
      <c r="E4" s="12" t="inlineStr">
        <is>
          <t>현재 근무</t>
        </is>
      </c>
      <c r="F4" s="12" t="inlineStr">
        <is>
          <t>급여 지급(기준월)</t>
        </is>
      </c>
      <c r="G4" s="12" t="inlineStr">
        <is>
          <t>파견 수용(파견중)</t>
        </is>
      </c>
      <c r="I4" s="12" t="inlineStr">
        <is>
          <t>현재 진료과</t>
        </is>
      </c>
      <c r="J4" s="12" t="inlineStr">
        <is>
          <t>인원</t>
        </is>
      </c>
    </row>
    <row r="5">
      <c r="A5" s="23" t="inlineStr">
        <is>
          <t>파견중</t>
        </is>
      </c>
      <c r="B5" s="23">
        <f>COUNTIF(전공의명단!$U$2:$U$61,A5)</f>
        <v/>
      </c>
      <c r="D5" s="23">
        <f>IF(코드표!A2="","",코드표!A2)</f>
        <v/>
      </c>
      <c r="E5" s="23">
        <f>IF(D5="","",COUNTIF(전공의명단!$N$2:$N$61,D5))</f>
        <v/>
      </c>
      <c r="F5" s="23">
        <f>IF(D5="","",COUNTIF(전공의명단!$Y$2:$Y$61,D5))</f>
        <v/>
      </c>
      <c r="G5" s="23">
        <f>IF(D5="","",COUNTIFS(전공의명단!$Q$2:$Q$61,D5,전공의명단!$U$2:$U$61,"파견중"))</f>
        <v/>
      </c>
      <c r="I5" s="23">
        <f>IF(코드표!B2="","",코드표!B2)</f>
        <v/>
      </c>
      <c r="J5" s="23">
        <f>IF(I5="","",COUNTIF(전공의명단!$O$2:$O$61,I5))</f>
        <v/>
      </c>
    </row>
    <row r="6">
      <c r="A6" s="23" t="inlineStr">
        <is>
          <t>파견예정</t>
        </is>
      </c>
      <c r="B6" s="23">
        <f>COUNTIF(전공의명단!$U$2:$U$61,A6)</f>
        <v/>
      </c>
      <c r="D6" s="23">
        <f>IF(코드표!A3="","",코드표!A3)</f>
        <v/>
      </c>
      <c r="E6" s="23">
        <f>IF(D6="","",COUNTIF(전공의명단!$N$2:$N$61,D6))</f>
        <v/>
      </c>
      <c r="F6" s="23">
        <f>IF(D6="","",COUNTIF(전공의명단!$Y$2:$Y$61,D6))</f>
        <v/>
      </c>
      <c r="G6" s="23">
        <f>IF(D6="","",COUNTIFS(전공의명단!$Q$2:$Q$61,D6,전공의명단!$U$2:$U$61,"파견중"))</f>
        <v/>
      </c>
      <c r="I6" s="23">
        <f>IF(코드표!B3="","",코드표!B3)</f>
        <v/>
      </c>
      <c r="J6" s="23">
        <f>IF(I6="","",COUNTIF(전공의명단!$O$2:$O$61,I6))</f>
        <v/>
      </c>
    </row>
    <row r="7">
      <c r="A7" s="23" t="inlineStr">
        <is>
          <t>파견종료</t>
        </is>
      </c>
      <c r="B7" s="23">
        <f>COUNTIF(전공의명단!$U$2:$U$61,A7)</f>
        <v/>
      </c>
      <c r="D7" s="23">
        <f>IF(코드표!A4="","",코드표!A4)</f>
        <v/>
      </c>
      <c r="E7" s="23">
        <f>IF(D7="","",COUNTIF(전공의명단!$N$2:$N$61,D7))</f>
        <v/>
      </c>
      <c r="F7" s="23">
        <f>IF(D7="","",COUNTIF(전공의명단!$Y$2:$Y$61,D7))</f>
        <v/>
      </c>
      <c r="G7" s="23">
        <f>IF(D7="","",COUNTIFS(전공의명단!$Q$2:$Q$61,D7,전공의명단!$U$2:$U$61,"파견중"))</f>
        <v/>
      </c>
      <c r="I7" s="23">
        <f>IF(코드표!B4="","",코드표!B4)</f>
        <v/>
      </c>
      <c r="J7" s="23">
        <f>IF(I7="","",COUNTIF(전공의명단!$O$2:$O$61,I7))</f>
        <v/>
      </c>
    </row>
    <row r="8">
      <c r="A8" s="24" t="inlineStr">
        <is>
          <t>명단 등록 인원</t>
        </is>
      </c>
      <c r="B8" s="24">
        <f>COUNTA(전공의명단!$B$2:$B$61)</f>
        <v/>
      </c>
      <c r="D8" s="23">
        <f>IF(코드표!A5="","",코드표!A5)</f>
        <v/>
      </c>
      <c r="E8" s="23">
        <f>IF(D8="","",COUNTIF(전공의명단!$N$2:$N$61,D8))</f>
        <v/>
      </c>
      <c r="F8" s="23">
        <f>IF(D8="","",COUNTIF(전공의명단!$Y$2:$Y$61,D8))</f>
        <v/>
      </c>
      <c r="G8" s="23">
        <f>IF(D8="","",COUNTIFS(전공의명단!$Q$2:$Q$61,D8,전공의명단!$U$2:$U$61,"파견중"))</f>
        <v/>
      </c>
      <c r="I8" s="23">
        <f>IF(코드표!B5="","",코드표!B5)</f>
        <v/>
      </c>
      <c r="J8" s="23">
        <f>IF(I8="","",COUNTIF(전공의명단!$O$2:$O$61,I8))</f>
        <v/>
      </c>
    </row>
    <row r="9">
      <c r="A9" s="23" t="inlineStr">
        <is>
          <t>종료 임박(파견중)</t>
        </is>
      </c>
      <c r="B9" s="23">
        <f>COUNTIFS(전공의명단!$U$2:$U$61,"파견중",전공의명단!$W$2:$W$61,"&lt;="&amp;$E$2)</f>
        <v/>
      </c>
      <c r="D9" s="23">
        <f>IF(코드표!A6="","",코드표!A6)</f>
        <v/>
      </c>
      <c r="E9" s="23">
        <f>IF(D9="","",COUNTIF(전공의명단!$N$2:$N$61,D9))</f>
        <v/>
      </c>
      <c r="F9" s="23">
        <f>IF(D9="","",COUNTIF(전공의명단!$Y$2:$Y$61,D9))</f>
        <v/>
      </c>
      <c r="G9" s="23">
        <f>IF(D9="","",COUNTIFS(전공의명단!$Q$2:$Q$61,D9,전공의명단!$U$2:$U$61,"파견중"))</f>
        <v/>
      </c>
      <c r="I9" s="23">
        <f>IF(코드표!B6="","",코드표!B6)</f>
        <v/>
      </c>
      <c r="J9" s="23">
        <f>IF(I9="","",COUNTIF(전공의명단!$O$2:$O$61,I9))</f>
        <v/>
      </c>
    </row>
    <row r="10">
      <c r="D10" s="23">
        <f>IF(코드표!A7="","",코드표!A7)</f>
        <v/>
      </c>
      <c r="E10" s="23">
        <f>IF(D10="","",COUNTIF(전공의명단!$N$2:$N$61,D10))</f>
        <v/>
      </c>
      <c r="F10" s="23">
        <f>IF(D10="","",COUNTIF(전공의명단!$Y$2:$Y$61,D10))</f>
        <v/>
      </c>
      <c r="G10" s="23">
        <f>IF(D10="","",COUNTIFS(전공의명단!$Q$2:$Q$61,D10,전공의명단!$U$2:$U$61,"파견중"))</f>
        <v/>
      </c>
      <c r="I10" s="23">
        <f>IF(코드표!B7="","",코드표!B7)</f>
        <v/>
      </c>
      <c r="J10" s="23">
        <f>IF(I10="","",COUNTIF(전공의명단!$O$2:$O$61,I10))</f>
        <v/>
      </c>
    </row>
    <row r="11">
      <c r="D11" s="23">
        <f>IF(코드표!A8="","",코드표!A8)</f>
        <v/>
      </c>
      <c r="E11" s="23">
        <f>IF(D11="","",COUNTIF(전공의명단!$N$2:$N$61,D11))</f>
        <v/>
      </c>
      <c r="F11" s="23">
        <f>IF(D11="","",COUNTIF(전공의명단!$Y$2:$Y$61,D11))</f>
        <v/>
      </c>
      <c r="G11" s="23">
        <f>IF(D11="","",COUNTIFS(전공의명단!$Q$2:$Q$61,D11,전공의명단!$U$2:$U$61,"파견중"))</f>
        <v/>
      </c>
      <c r="I11" s="23">
        <f>IF(코드표!B8="","",코드표!B8)</f>
        <v/>
      </c>
      <c r="J11" s="23">
        <f>IF(I11="","",COUNTIF(전공의명단!$O$2:$O$61,I11))</f>
        <v/>
      </c>
    </row>
    <row r="12">
      <c r="A12" s="12" t="inlineStr">
        <is>
          <t>파견근거(종류)</t>
        </is>
      </c>
      <c r="B12" s="12" t="inlineStr">
        <is>
          <t>인원</t>
        </is>
      </c>
      <c r="D12" s="23">
        <f>IF(코드표!A9="","",코드표!A9)</f>
        <v/>
      </c>
      <c r="E12" s="23">
        <f>IF(D12="","",COUNTIF(전공의명단!$N$2:$N$61,D12))</f>
        <v/>
      </c>
      <c r="F12" s="23">
        <f>IF(D12="","",COUNTIF(전공의명단!$Y$2:$Y$61,D12))</f>
        <v/>
      </c>
      <c r="G12" s="23">
        <f>IF(D12="","",COUNTIFS(전공의명단!$Q$2:$Q$61,D12,전공의명단!$U$2:$U$61,"파견중"))</f>
        <v/>
      </c>
      <c r="I12" s="23">
        <f>IF(코드표!B9="","",코드표!B9)</f>
        <v/>
      </c>
      <c r="J12" s="23">
        <f>IF(I12="","",COUNTIF(전공의명단!$O$2:$O$61,I12))</f>
        <v/>
      </c>
    </row>
    <row r="13">
      <c r="A13" s="23">
        <f>IF(코드표!C2="","",코드표!C2)</f>
        <v/>
      </c>
      <c r="B13" s="23">
        <f>IF(A13="","",COUNTIF(전공의명단!$P$2:$P$61,A13))</f>
        <v/>
      </c>
      <c r="D13" s="23">
        <f>IF(코드표!A10="","",코드표!A10)</f>
        <v/>
      </c>
      <c r="E13" s="23">
        <f>IF(D13="","",COUNTIF(전공의명단!$N$2:$N$61,D13))</f>
        <v/>
      </c>
      <c r="F13" s="23">
        <f>IF(D13="","",COUNTIF(전공의명단!$Y$2:$Y$61,D13))</f>
        <v/>
      </c>
      <c r="G13" s="23">
        <f>IF(D13="","",COUNTIFS(전공의명단!$Q$2:$Q$61,D13,전공의명단!$U$2:$U$61,"파견중"))</f>
        <v/>
      </c>
      <c r="I13" s="23">
        <f>IF(코드표!B10="","",코드표!B10)</f>
        <v/>
      </c>
      <c r="J13" s="23">
        <f>IF(I13="","",COUNTIF(전공의명단!$O$2:$O$61,I13))</f>
        <v/>
      </c>
    </row>
    <row r="14">
      <c r="A14" s="23">
        <f>IF(코드표!C3="","",코드표!C3)</f>
        <v/>
      </c>
      <c r="B14" s="23">
        <f>IF(A14="","",COUNTIF(전공의명단!$P$2:$P$61,A14))</f>
        <v/>
      </c>
      <c r="D14" s="23">
        <f>IF(코드표!A11="","",코드표!A11)</f>
        <v/>
      </c>
      <c r="E14" s="23">
        <f>IF(D14="","",COUNTIF(전공의명단!$N$2:$N$61,D14))</f>
        <v/>
      </c>
      <c r="F14" s="23">
        <f>IF(D14="","",COUNTIF(전공의명단!$Y$2:$Y$61,D14))</f>
        <v/>
      </c>
      <c r="G14" s="23">
        <f>IF(D14="","",COUNTIFS(전공의명단!$Q$2:$Q$61,D14,전공의명단!$U$2:$U$61,"파견중"))</f>
        <v/>
      </c>
      <c r="I14" s="23">
        <f>IF(코드표!B11="","",코드표!B11)</f>
        <v/>
      </c>
      <c r="J14" s="23">
        <f>IF(I14="","",COUNTIF(전공의명단!$O$2:$O$61,I14))</f>
        <v/>
      </c>
    </row>
    <row r="15">
      <c r="A15" s="23">
        <f>IF(코드표!C4="","",코드표!C4)</f>
        <v/>
      </c>
      <c r="B15" s="23">
        <f>IF(A15="","",COUNTIF(전공의명단!$P$2:$P$61,A15))</f>
        <v/>
      </c>
      <c r="D15" s="23">
        <f>IF(코드표!A12="","",코드표!A12)</f>
        <v/>
      </c>
      <c r="E15" s="23">
        <f>IF(D15="","",COUNTIF(전공의명단!$N$2:$N$61,D15))</f>
        <v/>
      </c>
      <c r="F15" s="23">
        <f>IF(D15="","",COUNTIF(전공의명단!$Y$2:$Y$61,D15))</f>
        <v/>
      </c>
      <c r="G15" s="23">
        <f>IF(D15="","",COUNTIFS(전공의명단!$Q$2:$Q$61,D15,전공의명단!$U$2:$U$61,"파견중"))</f>
        <v/>
      </c>
      <c r="I15" s="23">
        <f>IF(코드표!B12="","",코드표!B12)</f>
        <v/>
      </c>
      <c r="J15" s="23">
        <f>IF(I15="","",COUNTIF(전공의명단!$O$2:$O$61,I15))</f>
        <v/>
      </c>
    </row>
    <row r="16">
      <c r="A16" s="23">
        <f>IF(코드표!C5="","",코드표!C5)</f>
        <v/>
      </c>
      <c r="B16" s="23">
        <f>IF(A16="","",COUNTIF(전공의명단!$P$2:$P$61,A16))</f>
        <v/>
      </c>
      <c r="D16" s="23">
        <f>IF(코드표!A13="","",코드표!A13)</f>
        <v/>
      </c>
      <c r="E16" s="23">
        <f>IF(D16="","",COUNTIF(전공의명단!$N$2:$N$61,D16))</f>
        <v/>
      </c>
      <c r="F16" s="23">
        <f>IF(D16="","",COUNTIF(전공의명단!$Y$2:$Y$61,D16))</f>
        <v/>
      </c>
      <c r="G16" s="23">
        <f>IF(D16="","",COUNTIFS(전공의명단!$Q$2:$Q$61,D16,전공의명단!$U$2:$U$61,"파견중"))</f>
        <v/>
      </c>
      <c r="I16" s="23">
        <f>IF(코드표!B13="","",코드표!B13)</f>
        <v/>
      </c>
      <c r="J16" s="23">
        <f>IF(I16="","",COUNTIF(전공의명단!$O$2:$O$61,I16))</f>
        <v/>
      </c>
    </row>
    <row r="17">
      <c r="A17" s="23">
        <f>IF(코드표!C6="","",코드표!C6)</f>
        <v/>
      </c>
      <c r="B17" s="23">
        <f>IF(A17="","",COUNTIF(전공의명단!$P$2:$P$61,A17))</f>
        <v/>
      </c>
      <c r="D17" s="23">
        <f>IF(코드표!A14="","",코드표!A14)</f>
        <v/>
      </c>
      <c r="E17" s="23">
        <f>IF(D17="","",COUNTIF(전공의명단!$N$2:$N$61,D17))</f>
        <v/>
      </c>
      <c r="F17" s="23">
        <f>IF(D17="","",COUNTIF(전공의명단!$Y$2:$Y$61,D17))</f>
        <v/>
      </c>
      <c r="G17" s="23">
        <f>IF(D17="","",COUNTIFS(전공의명단!$Q$2:$Q$61,D17,전공의명단!$U$2:$U$61,"파견중"))</f>
        <v/>
      </c>
      <c r="I17" s="23">
        <f>IF(코드표!B14="","",코드표!B14)</f>
        <v/>
      </c>
      <c r="J17" s="23">
        <f>IF(I17="","",COUNTIF(전공의명단!$O$2:$O$61,I17))</f>
        <v/>
      </c>
    </row>
    <row r="18">
      <c r="A18" s="23">
        <f>IF(코드표!C7="","",코드표!C7)</f>
        <v/>
      </c>
      <c r="B18" s="23">
        <f>IF(A18="","",COUNTIF(전공의명단!$P$2:$P$61,A18))</f>
        <v/>
      </c>
      <c r="D18" s="23">
        <f>IF(코드표!A15="","",코드표!A15)</f>
        <v/>
      </c>
      <c r="E18" s="23">
        <f>IF(D18="","",COUNTIF(전공의명단!$N$2:$N$61,D18))</f>
        <v/>
      </c>
      <c r="F18" s="23">
        <f>IF(D18="","",COUNTIF(전공의명단!$Y$2:$Y$61,D18))</f>
        <v/>
      </c>
      <c r="G18" s="23">
        <f>IF(D18="","",COUNTIFS(전공의명단!$Q$2:$Q$61,D18,전공의명단!$U$2:$U$61,"파견중"))</f>
        <v/>
      </c>
      <c r="I18" s="23">
        <f>IF(코드표!B15="","",코드표!B15)</f>
        <v/>
      </c>
      <c r="J18" s="23">
        <f>IF(I18="","",COUNTIF(전공의명단!$O$2:$O$61,I18))</f>
        <v/>
      </c>
    </row>
    <row r="19">
      <c r="A19" s="23">
        <f>IF(코드표!C8="","",코드표!C8)</f>
        <v/>
      </c>
      <c r="B19" s="23">
        <f>IF(A19="","",COUNTIF(전공의명단!$P$2:$P$61,A19))</f>
        <v/>
      </c>
      <c r="D19" s="23">
        <f>IF(코드표!A16="","",코드표!A16)</f>
        <v/>
      </c>
      <c r="E19" s="23">
        <f>IF(D19="","",COUNTIF(전공의명단!$N$2:$N$61,D19))</f>
        <v/>
      </c>
      <c r="F19" s="23">
        <f>IF(D19="","",COUNTIF(전공의명단!$Y$2:$Y$61,D19))</f>
        <v/>
      </c>
      <c r="G19" s="23">
        <f>IF(D19="","",COUNTIFS(전공의명단!$Q$2:$Q$61,D19,전공의명단!$U$2:$U$61,"파견중"))</f>
        <v/>
      </c>
      <c r="I19" s="23">
        <f>IF(코드표!B16="","",코드표!B16)</f>
        <v/>
      </c>
      <c r="J19" s="23">
        <f>IF(I19="","",COUNTIF(전공의명단!$O$2:$O$61,I19))</f>
        <v/>
      </c>
    </row>
    <row r="20">
      <c r="A20" s="23">
        <f>IF(코드표!C9="","",코드표!C9)</f>
        <v/>
      </c>
      <c r="B20" s="23">
        <f>IF(A20="","",COUNTIF(전공의명단!$P$2:$P$61,A20))</f>
        <v/>
      </c>
      <c r="D20" s="23">
        <f>IF(코드표!A17="","",코드표!A17)</f>
        <v/>
      </c>
      <c r="E20" s="23">
        <f>IF(D20="","",COUNTIF(전공의명단!$N$2:$N$61,D20))</f>
        <v/>
      </c>
      <c r="F20" s="23">
        <f>IF(D20="","",COUNTIF(전공의명단!$Y$2:$Y$61,D20))</f>
        <v/>
      </c>
      <c r="G20" s="23">
        <f>IF(D20="","",COUNTIFS(전공의명단!$Q$2:$Q$61,D20,전공의명단!$U$2:$U$61,"파견중"))</f>
        <v/>
      </c>
      <c r="I20" s="23">
        <f>IF(코드표!B17="","",코드표!B17)</f>
        <v/>
      </c>
      <c r="J20" s="23">
        <f>IF(I20="","",COUNTIF(전공의명단!$O$2:$O$61,I20))</f>
        <v/>
      </c>
    </row>
    <row r="21">
      <c r="D21" s="23">
        <f>IF(코드표!A18="","",코드표!A18)</f>
        <v/>
      </c>
      <c r="E21" s="23">
        <f>IF(D21="","",COUNTIF(전공의명단!$N$2:$N$61,D21))</f>
        <v/>
      </c>
      <c r="F21" s="23">
        <f>IF(D21="","",COUNTIF(전공의명단!$Y$2:$Y$61,D21))</f>
        <v/>
      </c>
      <c r="G21" s="23">
        <f>IF(D21="","",COUNTIFS(전공의명단!$Q$2:$Q$61,D21,전공의명단!$U$2:$U$61,"파견중"))</f>
        <v/>
      </c>
      <c r="I21" s="23">
        <f>IF(코드표!B18="","",코드표!B18)</f>
        <v/>
      </c>
      <c r="J21" s="23">
        <f>IF(I21="","",COUNTIF(전공의명단!$O$2:$O$61,I21))</f>
        <v/>
      </c>
    </row>
    <row r="22">
      <c r="A22" s="12" t="inlineStr">
        <is>
          <t>데이터 점검</t>
        </is>
      </c>
      <c r="B22" s="12" t="inlineStr">
        <is>
          <t>건수</t>
        </is>
      </c>
      <c r="D22" s="23">
        <f>IF(코드표!A19="","",코드표!A19)</f>
        <v/>
      </c>
      <c r="E22" s="23">
        <f>IF(D22="","",COUNTIF(전공의명단!$N$2:$N$61,D22))</f>
        <v/>
      </c>
      <c r="F22" s="23">
        <f>IF(D22="","",COUNTIF(전공의명단!$Y$2:$Y$61,D22))</f>
        <v/>
      </c>
      <c r="G22" s="23">
        <f>IF(D22="","",COUNTIFS(전공의명단!$Q$2:$Q$61,D22,전공의명단!$U$2:$U$61,"파견중"))</f>
        <v/>
      </c>
      <c r="I22" s="23">
        <f>IF(코드표!B19="","",코드표!B19)</f>
        <v/>
      </c>
      <c r="J22" s="23">
        <f>IF(I22="","",COUNTIF(전공의명단!$O$2:$O$61,I22))</f>
        <v/>
      </c>
    </row>
    <row r="23">
      <c r="A23" s="23" t="inlineStr">
        <is>
          <t>기본자료 인원</t>
        </is>
      </c>
      <c r="B23" s="23">
        <f>COUNTA(기본자료!$B$2:$B$301)</f>
        <v/>
      </c>
      <c r="D23" s="23">
        <f>IF(코드표!A20="","",코드표!A20)</f>
        <v/>
      </c>
      <c r="E23" s="23">
        <f>IF(D23="","",COUNTIF(전공의명단!$N$2:$N$61,D23))</f>
        <v/>
      </c>
      <c r="F23" s="23">
        <f>IF(D23="","",COUNTIF(전공의명단!$Y$2:$Y$61,D23))</f>
        <v/>
      </c>
      <c r="G23" s="23">
        <f>IF(D23="","",COUNTIFS(전공의명단!$Q$2:$Q$61,D23,전공의명단!$U$2:$U$61,"파견중"))</f>
        <v/>
      </c>
      <c r="I23" s="23">
        <f>IF(코드표!B20="","",코드표!B20)</f>
        <v/>
      </c>
      <c r="J23" s="23">
        <f>IF(I23="","",COUNTIF(전공의명단!$O$2:$O$61,I23))</f>
        <v/>
      </c>
    </row>
    <row r="24">
      <c r="A24" s="23" t="inlineStr">
        <is>
          <t>기본자료 재직 인원</t>
        </is>
      </c>
      <c r="B24" s="23">
        <f>COUNTIF(기본자료!$A$2:$A$301,"재직")</f>
        <v/>
      </c>
      <c r="D24" s="23">
        <f>IF(코드표!A21="","",코드표!A21)</f>
        <v/>
      </c>
      <c r="E24" s="23">
        <f>IF(D24="","",COUNTIF(전공의명단!$N$2:$N$61,D24))</f>
        <v/>
      </c>
      <c r="F24" s="23">
        <f>IF(D24="","",COUNTIF(전공의명단!$Y$2:$Y$61,D24))</f>
        <v/>
      </c>
      <c r="G24" s="23">
        <f>IF(D24="","",COUNTIFS(전공의명단!$Q$2:$Q$61,D24,전공의명단!$U$2:$U$61,"파견중"))</f>
        <v/>
      </c>
      <c r="I24" s="23">
        <f>IF(코드표!B21="","",코드표!B21)</f>
        <v/>
      </c>
      <c r="J24" s="23">
        <f>IF(I24="","",COUNTIF(전공의명단!$O$2:$O$61,I24))</f>
        <v/>
      </c>
    </row>
    <row r="25">
      <c r="A25" s="23" t="inlineStr">
        <is>
          <t>기본자료에 없는 사번</t>
        </is>
      </c>
      <c r="B25" s="23">
        <f>SUMPRODUCT((전공의명단!$B$2:$B$61&lt;&gt;"")*(전공의명단!$AB$2:$AB$61=""))</f>
        <v/>
      </c>
      <c r="I25" s="23">
        <f>IF(코드표!B22="","",코드표!B22)</f>
        <v/>
      </c>
      <c r="J25" s="23">
        <f>IF(I25="","",COUNTIF(전공의명단!$O$2:$O$61,I25))</f>
        <v/>
      </c>
    </row>
    <row r="26">
      <c r="A26" s="23" t="inlineStr">
        <is>
          <t>명단 중복 사번</t>
        </is>
      </c>
      <c r="B26" s="23">
        <f>SUMPRODUCT((전공의명단!$B$2:$B$61&lt;&gt;"")*(COUNTIF(전공의명단!$B$2:$B$61,전공의명단!$B$2:$B$61)&gt;1))</f>
        <v/>
      </c>
      <c r="I26" s="23">
        <f>IF(코드표!B23="","",코드표!B23)</f>
        <v/>
      </c>
      <c r="J26" s="23">
        <f>IF(I26="","",COUNTIF(전공의명단!$O$2:$O$61,I26))</f>
        <v/>
      </c>
    </row>
    <row r="27">
      <c r="A27" s="23" t="inlineStr">
        <is>
          <t>날짜 형식 오류(생년월일/수련개시일)</t>
        </is>
      </c>
      <c r="B27" s="23">
        <f>SUMPRODUCT((전공의명단!$E$2:$E$61&lt;&gt;"")*1)-COUNT(전공의명단!$E$2:$E$61)+SUMPRODUCT((전공의명단!$I$2:$I$61&lt;&gt;"")*1)-COUNT(전공의명단!$I$2:$I$61)</f>
        <v/>
      </c>
      <c r="I27" s="23">
        <f>IF(코드표!B24="","",코드표!B24)</f>
        <v/>
      </c>
      <c r="J27" s="23">
        <f>IF(I27="","",COUNTIF(전공의명단!$O$2:$O$61,I27))</f>
        <v/>
      </c>
    </row>
    <row r="28">
      <c r="A28" s="23" t="inlineStr">
        <is>
          <t>인턴계획 입력 오류(병원/진료과)</t>
        </is>
      </c>
      <c r="B28" s="23">
        <f>SUM(인턴근무계획!$T$3:$T$62)</f>
        <v/>
      </c>
      <c r="I28" s="23">
        <f>IF(코드표!B25="","",코드표!B25)</f>
        <v/>
      </c>
      <c r="J28" s="23">
        <f>IF(I28="","",COUNTIF(전공의명단!$O$2:$O$61,I28))</f>
        <v/>
      </c>
    </row>
    <row r="29">
      <c r="A29" s="23" t="inlineStr">
        <is>
          <t>파견수련계획 입력 오류</t>
        </is>
      </c>
      <c r="B29" s="23">
        <f>SUMPRODUCT(--(LEN(파견수련계획!$AA$4:$AA$83)&gt;0))</f>
        <v/>
      </c>
      <c r="I29" s="23">
        <f>IF(코드표!B26="","",코드표!B26)</f>
        <v/>
      </c>
      <c r="J29" s="23">
        <f>IF(I29="","",COUNTIF(전공의명단!$O$2:$O$61,I29))</f>
        <v/>
      </c>
    </row>
    <row r="30">
      <c r="A30" s="23" t="inlineStr">
        <is>
          <t>명단에 없는 파견 기록(등록번호)</t>
        </is>
      </c>
      <c r="B30" s="23">
        <f>SUMPRODUCT((파견수련계획!$Q$4:$Q$83&lt;&gt;"")*ISNA(MATCH(파견수련계획!$Q$4:$Q$83,전공의명단!$J$2:$J$61,0)))</f>
        <v/>
      </c>
      <c r="I30" s="23">
        <f>IF(코드표!B27="","",코드표!B27)</f>
        <v/>
      </c>
      <c r="J30" s="23">
        <f>IF(I30="","",COUNTIF(전공의명단!$O$2:$O$61,I30))</f>
        <v/>
      </c>
    </row>
    <row r="31">
      <c r="A31" s="23" t="inlineStr">
        <is>
          <t>서울·구리 15일 판정 불가(양쪽 모두 이상/미만)</t>
        </is>
      </c>
      <c r="B31" s="23">
        <f>COUNTIF(전공의명단!$Y$2:$Y$61,"⚠*")</f>
        <v/>
      </c>
      <c r="I31" s="23">
        <f>IF(코드표!B28="","",코드표!B28)</f>
        <v/>
      </c>
      <c r="J31" s="23">
        <f>IF(I31="","",COUNTIF(전공의명단!$O$2:$O$61,I31))</f>
        <v/>
      </c>
    </row>
    <row r="32">
      <c r="A32" s="23" t="inlineStr">
        <is>
          <t>점검 필요 행(전공의명단 '점검' 열)</t>
        </is>
      </c>
      <c r="B32" s="23">
        <f>SUMPRODUCT((전공의명단!$B$2:$B$61&lt;&gt;"")*(전공의명단!$Z$2:$Z$61&lt;&gt;"정상"))</f>
        <v/>
      </c>
      <c r="I32" s="23">
        <f>IF(코드표!B29="","",코드표!B29)</f>
        <v/>
      </c>
      <c r="J32" s="23">
        <f>IF(I32="","",COUNTIF(전공의명단!$O$2:$O$61,I32))</f>
        <v/>
      </c>
    </row>
    <row r="33">
      <c r="I33" s="23">
        <f>IF(코드표!B30="","",코드표!B30)</f>
        <v/>
      </c>
      <c r="J33" s="23">
        <f>IF(I33="","",COUNTIF(전공의명단!$O$2:$O$61,I33))</f>
        <v/>
      </c>
    </row>
    <row r="34">
      <c r="I34" s="23">
        <f>IF(코드표!B31="","",코드표!B31)</f>
        <v/>
      </c>
      <c r="J34" s="23">
        <f>IF(I34="","",COUNTIF(전공의명단!$O$2:$O$61,I34))</f>
        <v/>
      </c>
    </row>
    <row r="35">
      <c r="I35" s="23">
        <f>IF(코드표!B32="","",코드표!B32)</f>
        <v/>
      </c>
      <c r="J35" s="23">
        <f>IF(I35="","",COUNTIF(전공의명단!$O$2:$O$61,I35))</f>
        <v/>
      </c>
    </row>
    <row r="36">
      <c r="I36" s="23">
        <f>IF(코드표!B33="","",코드표!B33)</f>
        <v/>
      </c>
      <c r="J36" s="23">
        <f>IF(I36="","",COUNTIF(전공의명단!$O$2:$O$61,I36))</f>
        <v/>
      </c>
    </row>
    <row r="37">
      <c r="I37" s="23">
        <f>IF(코드표!B34="","",코드표!B34)</f>
        <v/>
      </c>
      <c r="J37" s="23">
        <f>IF(I37="","",COUNTIF(전공의명단!$O$2:$O$61,I37))</f>
        <v/>
      </c>
    </row>
    <row r="38">
      <c r="I38" s="23">
        <f>IF(코드표!B35="","",코드표!B35)</f>
        <v/>
      </c>
      <c r="J38" s="23">
        <f>IF(I38="","",COUNTIF(전공의명단!$O$2:$O$61,I38))</f>
        <v/>
      </c>
    </row>
    <row r="39">
      <c r="I39" s="23">
        <f>IF(코드표!B36="","",코드표!B36)</f>
        <v/>
      </c>
      <c r="J39" s="23">
        <f>IF(I39="","",COUNTIF(전공의명단!$O$2:$O$61,I39))</f>
        <v/>
      </c>
    </row>
    <row r="40">
      <c r="I40" s="23">
        <f>IF(코드표!B37="","",코드표!B37)</f>
        <v/>
      </c>
      <c r="J40" s="23">
        <f>IF(I40="","",COUNTIF(전공의명단!$O$2:$O$61,I40))</f>
        <v/>
      </c>
    </row>
    <row r="41">
      <c r="I41" s="23">
        <f>IF(코드표!B38="","",코드표!B38)</f>
        <v/>
      </c>
      <c r="J41" s="23">
        <f>IF(I41="","",COUNTIF(전공의명단!$O$2:$O$61,I41))</f>
        <v/>
      </c>
    </row>
    <row r="42">
      <c r="I42" s="23">
        <f>IF(코드표!B39="","",코드표!B39)</f>
        <v/>
      </c>
      <c r="J42" s="23">
        <f>IF(I42="","",COUNTIF(전공의명단!$O$2:$O$61,I42))</f>
        <v/>
      </c>
    </row>
    <row r="43">
      <c r="I43" s="23">
        <f>IF(코드표!B40="","",코드표!B40)</f>
        <v/>
      </c>
      <c r="J43" s="23">
        <f>IF(I43="","",COUNTIF(전공의명단!$O$2:$O$61,I43))</f>
        <v/>
      </c>
    </row>
    <row r="44">
      <c r="I44" s="23">
        <f>IF(코드표!B41="","",코드표!B41)</f>
        <v/>
      </c>
      <c r="J44" s="23">
        <f>IF(I44="","",COUNTIF(전공의명단!$O$2:$O$61,I44))</f>
        <v/>
      </c>
    </row>
    <row r="45">
      <c r="I45" s="23">
        <f>IF(코드표!D2="","",코드표!D2&amp;" (인턴)")</f>
        <v/>
      </c>
      <c r="J45" s="23">
        <f>IF(코드표!D2="","",COUNTIF(전공의명단!$O$2:$O$61,코드표!D2))</f>
        <v/>
      </c>
    </row>
    <row r="46">
      <c r="I46" s="23">
        <f>IF(코드표!D3="","",코드표!D3&amp;" (인턴)")</f>
        <v/>
      </c>
      <c r="J46" s="23">
        <f>IF(코드표!D3="","",COUNTIF(전공의명단!$O$2:$O$61,코드표!D3))</f>
        <v/>
      </c>
    </row>
  </sheetData>
  <conditionalFormatting sqref="B25:B32">
    <cfRule type="expression" priority="1" dxfId="0">
      <formula>B25&gt;0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6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0" customWidth="1" min="3" max="3"/>
    <col width="10" customWidth="1" min="4" max="4"/>
    <col width="11" customWidth="1" min="5" max="5"/>
    <col width="12" customWidth="1" min="6" max="6"/>
    <col width="15" customWidth="1" min="7" max="7"/>
    <col width="16" customWidth="1" min="8" max="8"/>
    <col width="15" customWidth="1" min="9" max="9"/>
    <col width="16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9" customWidth="1" min="17" max="17"/>
    <col width="3" customWidth="1" min="18" max="18"/>
    <col width="14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인턴 근무 현황</t>
        </is>
      </c>
    </row>
    <row r="2">
      <c r="A2" s="3" t="inlineStr">
        <is>
          <t>기준일</t>
        </is>
      </c>
      <c r="B2" s="20">
        <f>TODAY()</f>
        <v/>
      </c>
      <c r="J2" s="8" t="inlineStr">
        <is>
          <t>급여 기준월 위치→</t>
        </is>
      </c>
      <c r="K2" s="25">
        <f>IFERROR(MATCH(MONTH(요약!$B$3),$K$3:$P$3,0),"")</f>
        <v/>
      </c>
    </row>
    <row r="3">
      <c r="A3" s="8" t="inlineStr">
        <is>
          <t>계획 월 번호(자동)</t>
        </is>
      </c>
      <c r="F3" s="8" t="inlineStr">
        <is>
          <t>이번/다음 달 위치→</t>
        </is>
      </c>
      <c r="G3" s="25">
        <f>IFERROR(MATCH(MONTH(TODAY()),$K$3:$P$3,0),"")</f>
        <v/>
      </c>
      <c r="I3" s="25">
        <f>IFERROR(MATCH(MONTH(EDATE(TODAY(),1)),$K$3:$P$3,0),"")</f>
        <v/>
      </c>
      <c r="K3" s="25">
        <f>IFERROR(VALUE(SUBSTITUTE(TRIM(K5),"월","")),"")</f>
        <v/>
      </c>
      <c r="L3" s="25">
        <f>IFERROR(VALUE(SUBSTITUTE(TRIM(L5),"월","")),"")</f>
        <v/>
      </c>
      <c r="M3" s="25">
        <f>IFERROR(VALUE(SUBSTITUTE(TRIM(M5),"월","")),"")</f>
        <v/>
      </c>
      <c r="N3" s="25">
        <f>IFERROR(VALUE(SUBSTITUTE(TRIM(N5),"월","")),"")</f>
        <v/>
      </c>
      <c r="O3" s="25">
        <f>IFERROR(VALUE(SUBSTITUTE(TRIM(O5),"월","")),"")</f>
        <v/>
      </c>
      <c r="P3" s="25">
        <f>IFERROR(VALUE(SUBSTITUTE(TRIM(P5),"월","")),"")</f>
        <v/>
      </c>
    </row>
    <row r="4">
      <c r="S4" s="3" t="inlineStr">
        <is>
          <t>월별 병원별 인턴 인원</t>
        </is>
      </c>
    </row>
    <row r="5" ht="30" customHeight="1">
      <c r="A5" s="12" t="inlineStr">
        <is>
          <t>계획행</t>
        </is>
      </c>
      <c r="B5" s="12" t="inlineStr">
        <is>
          <t>순번</t>
        </is>
      </c>
      <c r="C5" s="12" t="inlineStr">
        <is>
          <t>이름</t>
        </is>
      </c>
      <c r="D5" s="12" t="inlineStr">
        <is>
          <t>사번</t>
        </is>
      </c>
      <c r="E5" s="12" t="inlineStr">
        <is>
          <t>기본자료 확인</t>
        </is>
      </c>
      <c r="F5" s="12" t="inlineStr">
        <is>
          <t>입사일</t>
        </is>
      </c>
      <c r="G5" s="12">
        <f>"이번 달("&amp;IF($G$3="","계획 외",MONTH(TODAY())&amp;"월")&amp;") 병원"</f>
        <v/>
      </c>
      <c r="H5" s="12" t="inlineStr">
        <is>
          <t>이번 달 진료과</t>
        </is>
      </c>
      <c r="I5" s="12">
        <f>"다음 달("&amp;IF($I$3="","계획 외",MONTH(EDATE(TODAY(),1))&amp;"월")&amp;") 병원"</f>
        <v/>
      </c>
      <c r="J5" s="12" t="inlineStr">
        <is>
          <t>다음 달 진료과</t>
        </is>
      </c>
      <c r="K5" s="12">
        <f>TRIM(인턴근무계획!E$2&amp;"")</f>
        <v/>
      </c>
      <c r="L5" s="12">
        <f>TRIM(인턴근무계획!F$2&amp;"")</f>
        <v/>
      </c>
      <c r="M5" s="12">
        <f>TRIM(인턴근무계획!G$2&amp;"")</f>
        <v/>
      </c>
      <c r="N5" s="12">
        <f>TRIM(인턴근무계획!H$2&amp;"")</f>
        <v/>
      </c>
      <c r="O5" s="12">
        <f>TRIM(인턴근무계획!I$2&amp;"")</f>
        <v/>
      </c>
      <c r="P5" s="12">
        <f>TRIM(인턴근무계획!J$2&amp;"")</f>
        <v/>
      </c>
      <c r="Q5" s="12" t="inlineStr">
        <is>
          <t>입력오류(건)</t>
        </is>
      </c>
      <c r="S5" s="12" t="inlineStr">
        <is>
          <t>병원</t>
        </is>
      </c>
      <c r="T5" s="12">
        <f>K5</f>
        <v/>
      </c>
      <c r="U5" s="12">
        <f>L5</f>
        <v/>
      </c>
      <c r="V5" s="12">
        <f>M5</f>
        <v/>
      </c>
      <c r="W5" s="12">
        <f>N5</f>
        <v/>
      </c>
      <c r="X5" s="12">
        <f>O5</f>
        <v/>
      </c>
      <c r="Y5" s="12">
        <f>P5</f>
        <v/>
      </c>
    </row>
    <row r="6">
      <c r="A6" s="26" t="n">
        <v>1</v>
      </c>
      <c r="B6" s="23">
        <f>IF($C6="","",INDEX(인턴근무계획!$B$3:$B$62,$A6))</f>
        <v/>
      </c>
      <c r="C6" s="23">
        <f>IFERROR(TRIM(INDEX(인턴근무계획!$C$3:$C$62,$A6)&amp;""),"")</f>
        <v/>
      </c>
      <c r="D6" s="23">
        <f>IF($C6="","",INDEX(인턴근무계획!$D$3:$D$62,$A6))</f>
        <v/>
      </c>
      <c r="E6" s="23">
        <f>IF($C6="","",IF(IFERROR(MATCH($D6,기본자료!$B$2:$B$301,0),IFERROR(MATCH($D6&amp;"",기본자료!$B$2:$B$301,0),IFERROR(MATCH(VALUE($D6),기본자료!$B$2:$B$301,0),0)))&gt;0,"확인","미등록"))</f>
        <v/>
      </c>
      <c r="F6" s="27">
        <f>IF($C6="","",INDEX(인턴근무계획!$S$3:$S$62,$A6))</f>
        <v/>
      </c>
      <c r="G6" s="23">
        <f>IF(OR($C6="",$G$3=""),"",IF(INDEX(인턴근무계획!$M$3:$R$62,$A6,$G$3)&amp;""="","",IF(LEFT(INDEX(인턴근무계획!$M$3:$R$62,$A6,$G$3)&amp;"",1)="⚠",INDEX(인턴근무계획!$M$3:$R$62,$A6,$G$3)&amp;"",LEFT(INDEX(인턴근무계획!$M$3:$R$62,$A6,$G$3)&amp;"",FIND(" ",INDEX(인턴근무계획!$M$3:$R$62,$A6,$G$3)&amp;"")-1))))</f>
        <v/>
      </c>
      <c r="H6" s="23">
        <f>IF(OR($C6="",$G$3=""),"",IF(INDEX(인턴근무계획!$M$3:$R$62,$A6,$G$3)&amp;""="","",IF(LEFT(INDEX(인턴근무계획!$M$3:$R$62,$A6,$G$3)&amp;"",1)="⚠","",MID(INDEX(인턴근무계획!$M$3:$R$62,$A6,$G$3)&amp;"",FIND(" ",INDEX(인턴근무계획!$M$3:$R$62,$A6,$G$3)&amp;"")+1,60))))</f>
        <v/>
      </c>
      <c r="I6" s="23">
        <f>IF(OR($C6="",$I$3=""),"",IF(INDEX(인턴근무계획!$M$3:$R$62,$A6,$I$3)&amp;""="","",IF(LEFT(INDEX(인턴근무계획!$M$3:$R$62,$A6,$I$3)&amp;"",1)="⚠",INDEX(인턴근무계획!$M$3:$R$62,$A6,$I$3)&amp;"",LEFT(INDEX(인턴근무계획!$M$3:$R$62,$A6,$I$3)&amp;"",FIND(" ",INDEX(인턴근무계획!$M$3:$R$62,$A6,$I$3)&amp;"")-1))))</f>
        <v/>
      </c>
      <c r="J6" s="23">
        <f>IF(OR($C6="",$I$3=""),"",IF(INDEX(인턴근무계획!$M$3:$R$62,$A6,$I$3)&amp;""="","",IF(LEFT(INDEX(인턴근무계획!$M$3:$R$62,$A6,$I$3)&amp;"",1)="⚠","",MID(INDEX(인턴근무계획!$M$3:$R$62,$A6,$I$3)&amp;"",FIND(" ",INDEX(인턴근무계획!$M$3:$R$62,$A6,$I$3)&amp;"")+1,60))))</f>
        <v/>
      </c>
      <c r="K6" s="23">
        <f>IF($C6="","",INDEX(인턴근무계획!$M$3:$M$62,$A6)&amp;"")</f>
        <v/>
      </c>
      <c r="L6" s="23">
        <f>IF($C6="","",INDEX(인턴근무계획!$N$3:$N$62,$A6)&amp;"")</f>
        <v/>
      </c>
      <c r="M6" s="23">
        <f>IF($C6="","",INDEX(인턴근무계획!$O$3:$O$62,$A6)&amp;"")</f>
        <v/>
      </c>
      <c r="N6" s="23">
        <f>IF($C6="","",INDEX(인턴근무계획!$P$3:$P$62,$A6)&amp;"")</f>
        <v/>
      </c>
      <c r="O6" s="23">
        <f>IF($C6="","",INDEX(인턴근무계획!$Q$3:$Q$62,$A6)&amp;"")</f>
        <v/>
      </c>
      <c r="P6" s="23">
        <f>IF($C6="","",INDEX(인턴근무계획!$R$3:$R$62,$A6)&amp;"")</f>
        <v/>
      </c>
      <c r="Q6" s="23">
        <f>IF($C6="","",INDEX(인턴근무계획!$T$3:$T$62,$A6))</f>
        <v/>
      </c>
      <c r="S6" s="23">
        <f>IF(코드표!A2="","",코드표!A2)</f>
        <v/>
      </c>
      <c r="T6" s="23">
        <f>IF($S6="","",COUNTIF(K$6:K$65,$S6&amp;" *"))</f>
        <v/>
      </c>
      <c r="U6" s="23">
        <f>IF($S6="","",COUNTIF(L$6:L$65,$S6&amp;" *"))</f>
        <v/>
      </c>
      <c r="V6" s="23">
        <f>IF($S6="","",COUNTIF(M$6:M$65,$S6&amp;" *"))</f>
        <v/>
      </c>
      <c r="W6" s="23">
        <f>IF($S6="","",COUNTIF(N$6:N$65,$S6&amp;" *"))</f>
        <v/>
      </c>
      <c r="X6" s="23">
        <f>IF($S6="","",COUNTIF(O$6:O$65,$S6&amp;" *"))</f>
        <v/>
      </c>
      <c r="Y6" s="23">
        <f>IF($S6="","",COUNTIF(P$6:P$65,$S6&amp;" *"))</f>
        <v/>
      </c>
    </row>
    <row r="7">
      <c r="A7" s="26" t="n">
        <v>2</v>
      </c>
      <c r="B7" s="23">
        <f>IF($C7="","",INDEX(인턴근무계획!$B$3:$B$62,$A7))</f>
        <v/>
      </c>
      <c r="C7" s="23">
        <f>IFERROR(TRIM(INDEX(인턴근무계획!$C$3:$C$62,$A7)&amp;""),"")</f>
        <v/>
      </c>
      <c r="D7" s="23">
        <f>IF($C7="","",INDEX(인턴근무계획!$D$3:$D$62,$A7))</f>
        <v/>
      </c>
      <c r="E7" s="23">
        <f>IF($C7="","",IF(IFERROR(MATCH($D7,기본자료!$B$2:$B$301,0),IFERROR(MATCH($D7&amp;"",기본자료!$B$2:$B$301,0),IFERROR(MATCH(VALUE($D7),기본자료!$B$2:$B$301,0),0)))&gt;0,"확인","미등록"))</f>
        <v/>
      </c>
      <c r="F7" s="27">
        <f>IF($C7="","",INDEX(인턴근무계획!$S$3:$S$62,$A7))</f>
        <v/>
      </c>
      <c r="G7" s="23">
        <f>IF(OR($C7="",$G$3=""),"",IF(INDEX(인턴근무계획!$M$3:$R$62,$A7,$G$3)&amp;""="","",IF(LEFT(INDEX(인턴근무계획!$M$3:$R$62,$A7,$G$3)&amp;"",1)="⚠",INDEX(인턴근무계획!$M$3:$R$62,$A7,$G$3)&amp;"",LEFT(INDEX(인턴근무계획!$M$3:$R$62,$A7,$G$3)&amp;"",FIND(" ",INDEX(인턴근무계획!$M$3:$R$62,$A7,$G$3)&amp;"")-1))))</f>
        <v/>
      </c>
      <c r="H7" s="23">
        <f>IF(OR($C7="",$G$3=""),"",IF(INDEX(인턴근무계획!$M$3:$R$62,$A7,$G$3)&amp;""="","",IF(LEFT(INDEX(인턴근무계획!$M$3:$R$62,$A7,$G$3)&amp;"",1)="⚠","",MID(INDEX(인턴근무계획!$M$3:$R$62,$A7,$G$3)&amp;"",FIND(" ",INDEX(인턴근무계획!$M$3:$R$62,$A7,$G$3)&amp;"")+1,60))))</f>
        <v/>
      </c>
      <c r="I7" s="23">
        <f>IF(OR($C7="",$I$3=""),"",IF(INDEX(인턴근무계획!$M$3:$R$62,$A7,$I$3)&amp;""="","",IF(LEFT(INDEX(인턴근무계획!$M$3:$R$62,$A7,$I$3)&amp;"",1)="⚠",INDEX(인턴근무계획!$M$3:$R$62,$A7,$I$3)&amp;"",LEFT(INDEX(인턴근무계획!$M$3:$R$62,$A7,$I$3)&amp;"",FIND(" ",INDEX(인턴근무계획!$M$3:$R$62,$A7,$I$3)&amp;"")-1))))</f>
        <v/>
      </c>
      <c r="J7" s="23">
        <f>IF(OR($C7="",$I$3=""),"",IF(INDEX(인턴근무계획!$M$3:$R$62,$A7,$I$3)&amp;""="","",IF(LEFT(INDEX(인턴근무계획!$M$3:$R$62,$A7,$I$3)&amp;"",1)="⚠","",MID(INDEX(인턴근무계획!$M$3:$R$62,$A7,$I$3)&amp;"",FIND(" ",INDEX(인턴근무계획!$M$3:$R$62,$A7,$I$3)&amp;"")+1,60))))</f>
        <v/>
      </c>
      <c r="K7" s="23">
        <f>IF($C7="","",INDEX(인턴근무계획!$M$3:$M$62,$A7)&amp;"")</f>
        <v/>
      </c>
      <c r="L7" s="23">
        <f>IF($C7="","",INDEX(인턴근무계획!$N$3:$N$62,$A7)&amp;"")</f>
        <v/>
      </c>
      <c r="M7" s="23">
        <f>IF($C7="","",INDEX(인턴근무계획!$O$3:$O$62,$A7)&amp;"")</f>
        <v/>
      </c>
      <c r="N7" s="23">
        <f>IF($C7="","",INDEX(인턴근무계획!$P$3:$P$62,$A7)&amp;"")</f>
        <v/>
      </c>
      <c r="O7" s="23">
        <f>IF($C7="","",INDEX(인턴근무계획!$Q$3:$Q$62,$A7)&amp;"")</f>
        <v/>
      </c>
      <c r="P7" s="23">
        <f>IF($C7="","",INDEX(인턴근무계획!$R$3:$R$62,$A7)&amp;"")</f>
        <v/>
      </c>
      <c r="Q7" s="23">
        <f>IF($C7="","",INDEX(인턴근무계획!$T$3:$T$62,$A7))</f>
        <v/>
      </c>
      <c r="S7" s="23">
        <f>IF(코드표!A3="","",코드표!A3)</f>
        <v/>
      </c>
      <c r="T7" s="23">
        <f>IF($S7="","",COUNTIF(K$6:K$65,$S7&amp;" *"))</f>
        <v/>
      </c>
      <c r="U7" s="23">
        <f>IF($S7="","",COUNTIF(L$6:L$65,$S7&amp;" *"))</f>
        <v/>
      </c>
      <c r="V7" s="23">
        <f>IF($S7="","",COUNTIF(M$6:M$65,$S7&amp;" *"))</f>
        <v/>
      </c>
      <c r="W7" s="23">
        <f>IF($S7="","",COUNTIF(N$6:N$65,$S7&amp;" *"))</f>
        <v/>
      </c>
      <c r="X7" s="23">
        <f>IF($S7="","",COUNTIF(O$6:O$65,$S7&amp;" *"))</f>
        <v/>
      </c>
      <c r="Y7" s="23">
        <f>IF($S7="","",COUNTIF(P$6:P$65,$S7&amp;" *"))</f>
        <v/>
      </c>
    </row>
    <row r="8">
      <c r="A8" s="26" t="n">
        <v>3</v>
      </c>
      <c r="B8" s="23">
        <f>IF($C8="","",INDEX(인턴근무계획!$B$3:$B$62,$A8))</f>
        <v/>
      </c>
      <c r="C8" s="23">
        <f>IFERROR(TRIM(INDEX(인턴근무계획!$C$3:$C$62,$A8)&amp;""),"")</f>
        <v/>
      </c>
      <c r="D8" s="23">
        <f>IF($C8="","",INDEX(인턴근무계획!$D$3:$D$62,$A8))</f>
        <v/>
      </c>
      <c r="E8" s="23">
        <f>IF($C8="","",IF(IFERROR(MATCH($D8,기본자료!$B$2:$B$301,0),IFERROR(MATCH($D8&amp;"",기본자료!$B$2:$B$301,0),IFERROR(MATCH(VALUE($D8),기본자료!$B$2:$B$301,0),0)))&gt;0,"확인","미등록"))</f>
        <v/>
      </c>
      <c r="F8" s="27">
        <f>IF($C8="","",INDEX(인턴근무계획!$S$3:$S$62,$A8))</f>
        <v/>
      </c>
      <c r="G8" s="23">
        <f>IF(OR($C8="",$G$3=""),"",IF(INDEX(인턴근무계획!$M$3:$R$62,$A8,$G$3)&amp;""="","",IF(LEFT(INDEX(인턴근무계획!$M$3:$R$62,$A8,$G$3)&amp;"",1)="⚠",INDEX(인턴근무계획!$M$3:$R$62,$A8,$G$3)&amp;"",LEFT(INDEX(인턴근무계획!$M$3:$R$62,$A8,$G$3)&amp;"",FIND(" ",INDEX(인턴근무계획!$M$3:$R$62,$A8,$G$3)&amp;"")-1))))</f>
        <v/>
      </c>
      <c r="H8" s="23">
        <f>IF(OR($C8="",$G$3=""),"",IF(INDEX(인턴근무계획!$M$3:$R$62,$A8,$G$3)&amp;""="","",IF(LEFT(INDEX(인턴근무계획!$M$3:$R$62,$A8,$G$3)&amp;"",1)="⚠","",MID(INDEX(인턴근무계획!$M$3:$R$62,$A8,$G$3)&amp;"",FIND(" ",INDEX(인턴근무계획!$M$3:$R$62,$A8,$G$3)&amp;"")+1,60))))</f>
        <v/>
      </c>
      <c r="I8" s="23">
        <f>IF(OR($C8="",$I$3=""),"",IF(INDEX(인턴근무계획!$M$3:$R$62,$A8,$I$3)&amp;""="","",IF(LEFT(INDEX(인턴근무계획!$M$3:$R$62,$A8,$I$3)&amp;"",1)="⚠",INDEX(인턴근무계획!$M$3:$R$62,$A8,$I$3)&amp;"",LEFT(INDEX(인턴근무계획!$M$3:$R$62,$A8,$I$3)&amp;"",FIND(" ",INDEX(인턴근무계획!$M$3:$R$62,$A8,$I$3)&amp;"")-1))))</f>
        <v/>
      </c>
      <c r="J8" s="23">
        <f>IF(OR($C8="",$I$3=""),"",IF(INDEX(인턴근무계획!$M$3:$R$62,$A8,$I$3)&amp;""="","",IF(LEFT(INDEX(인턴근무계획!$M$3:$R$62,$A8,$I$3)&amp;"",1)="⚠","",MID(INDEX(인턴근무계획!$M$3:$R$62,$A8,$I$3)&amp;"",FIND(" ",INDEX(인턴근무계획!$M$3:$R$62,$A8,$I$3)&amp;"")+1,60))))</f>
        <v/>
      </c>
      <c r="K8" s="23">
        <f>IF($C8="","",INDEX(인턴근무계획!$M$3:$M$62,$A8)&amp;"")</f>
        <v/>
      </c>
      <c r="L8" s="23">
        <f>IF($C8="","",INDEX(인턴근무계획!$N$3:$N$62,$A8)&amp;"")</f>
        <v/>
      </c>
      <c r="M8" s="23">
        <f>IF($C8="","",INDEX(인턴근무계획!$O$3:$O$62,$A8)&amp;"")</f>
        <v/>
      </c>
      <c r="N8" s="23">
        <f>IF($C8="","",INDEX(인턴근무계획!$P$3:$P$62,$A8)&amp;"")</f>
        <v/>
      </c>
      <c r="O8" s="23">
        <f>IF($C8="","",INDEX(인턴근무계획!$Q$3:$Q$62,$A8)&amp;"")</f>
        <v/>
      </c>
      <c r="P8" s="23">
        <f>IF($C8="","",INDEX(인턴근무계획!$R$3:$R$62,$A8)&amp;"")</f>
        <v/>
      </c>
      <c r="Q8" s="23">
        <f>IF($C8="","",INDEX(인턴근무계획!$T$3:$T$62,$A8))</f>
        <v/>
      </c>
      <c r="S8" s="23">
        <f>IF(코드표!A4="","",코드표!A4)</f>
        <v/>
      </c>
      <c r="T8" s="23">
        <f>IF($S8="","",COUNTIF(K$6:K$65,$S8&amp;" *"))</f>
        <v/>
      </c>
      <c r="U8" s="23">
        <f>IF($S8="","",COUNTIF(L$6:L$65,$S8&amp;" *"))</f>
        <v/>
      </c>
      <c r="V8" s="23">
        <f>IF($S8="","",COUNTIF(M$6:M$65,$S8&amp;" *"))</f>
        <v/>
      </c>
      <c r="W8" s="23">
        <f>IF($S8="","",COUNTIF(N$6:N$65,$S8&amp;" *"))</f>
        <v/>
      </c>
      <c r="X8" s="23">
        <f>IF($S8="","",COUNTIF(O$6:O$65,$S8&amp;" *"))</f>
        <v/>
      </c>
      <c r="Y8" s="23">
        <f>IF($S8="","",COUNTIF(P$6:P$65,$S8&amp;" *"))</f>
        <v/>
      </c>
    </row>
    <row r="9">
      <c r="A9" s="26" t="n">
        <v>4</v>
      </c>
      <c r="B9" s="23">
        <f>IF($C9="","",INDEX(인턴근무계획!$B$3:$B$62,$A9))</f>
        <v/>
      </c>
      <c r="C9" s="23">
        <f>IFERROR(TRIM(INDEX(인턴근무계획!$C$3:$C$62,$A9)&amp;""),"")</f>
        <v/>
      </c>
      <c r="D9" s="23">
        <f>IF($C9="","",INDEX(인턴근무계획!$D$3:$D$62,$A9))</f>
        <v/>
      </c>
      <c r="E9" s="23">
        <f>IF($C9="","",IF(IFERROR(MATCH($D9,기본자료!$B$2:$B$301,0),IFERROR(MATCH($D9&amp;"",기본자료!$B$2:$B$301,0),IFERROR(MATCH(VALUE($D9),기본자료!$B$2:$B$301,0),0)))&gt;0,"확인","미등록"))</f>
        <v/>
      </c>
      <c r="F9" s="27">
        <f>IF($C9="","",INDEX(인턴근무계획!$S$3:$S$62,$A9))</f>
        <v/>
      </c>
      <c r="G9" s="23">
        <f>IF(OR($C9="",$G$3=""),"",IF(INDEX(인턴근무계획!$M$3:$R$62,$A9,$G$3)&amp;""="","",IF(LEFT(INDEX(인턴근무계획!$M$3:$R$62,$A9,$G$3)&amp;"",1)="⚠",INDEX(인턴근무계획!$M$3:$R$62,$A9,$G$3)&amp;"",LEFT(INDEX(인턴근무계획!$M$3:$R$62,$A9,$G$3)&amp;"",FIND(" ",INDEX(인턴근무계획!$M$3:$R$62,$A9,$G$3)&amp;"")-1))))</f>
        <v/>
      </c>
      <c r="H9" s="23">
        <f>IF(OR($C9="",$G$3=""),"",IF(INDEX(인턴근무계획!$M$3:$R$62,$A9,$G$3)&amp;""="","",IF(LEFT(INDEX(인턴근무계획!$M$3:$R$62,$A9,$G$3)&amp;"",1)="⚠","",MID(INDEX(인턴근무계획!$M$3:$R$62,$A9,$G$3)&amp;"",FIND(" ",INDEX(인턴근무계획!$M$3:$R$62,$A9,$G$3)&amp;"")+1,60))))</f>
        <v/>
      </c>
      <c r="I9" s="23">
        <f>IF(OR($C9="",$I$3=""),"",IF(INDEX(인턴근무계획!$M$3:$R$62,$A9,$I$3)&amp;""="","",IF(LEFT(INDEX(인턴근무계획!$M$3:$R$62,$A9,$I$3)&amp;"",1)="⚠",INDEX(인턴근무계획!$M$3:$R$62,$A9,$I$3)&amp;"",LEFT(INDEX(인턴근무계획!$M$3:$R$62,$A9,$I$3)&amp;"",FIND(" ",INDEX(인턴근무계획!$M$3:$R$62,$A9,$I$3)&amp;"")-1))))</f>
        <v/>
      </c>
      <c r="J9" s="23">
        <f>IF(OR($C9="",$I$3=""),"",IF(INDEX(인턴근무계획!$M$3:$R$62,$A9,$I$3)&amp;""="","",IF(LEFT(INDEX(인턴근무계획!$M$3:$R$62,$A9,$I$3)&amp;"",1)="⚠","",MID(INDEX(인턴근무계획!$M$3:$R$62,$A9,$I$3)&amp;"",FIND(" ",INDEX(인턴근무계획!$M$3:$R$62,$A9,$I$3)&amp;"")+1,60))))</f>
        <v/>
      </c>
      <c r="K9" s="23">
        <f>IF($C9="","",INDEX(인턴근무계획!$M$3:$M$62,$A9)&amp;"")</f>
        <v/>
      </c>
      <c r="L9" s="23">
        <f>IF($C9="","",INDEX(인턴근무계획!$N$3:$N$62,$A9)&amp;"")</f>
        <v/>
      </c>
      <c r="M9" s="23">
        <f>IF($C9="","",INDEX(인턴근무계획!$O$3:$O$62,$A9)&amp;"")</f>
        <v/>
      </c>
      <c r="N9" s="23">
        <f>IF($C9="","",INDEX(인턴근무계획!$P$3:$P$62,$A9)&amp;"")</f>
        <v/>
      </c>
      <c r="O9" s="23">
        <f>IF($C9="","",INDEX(인턴근무계획!$Q$3:$Q$62,$A9)&amp;"")</f>
        <v/>
      </c>
      <c r="P9" s="23">
        <f>IF($C9="","",INDEX(인턴근무계획!$R$3:$R$62,$A9)&amp;"")</f>
        <v/>
      </c>
      <c r="Q9" s="23">
        <f>IF($C9="","",INDEX(인턴근무계획!$T$3:$T$62,$A9))</f>
        <v/>
      </c>
      <c r="S9" s="23">
        <f>IF(코드표!A5="","",코드표!A5)</f>
        <v/>
      </c>
      <c r="T9" s="23">
        <f>IF($S9="","",COUNTIF(K$6:K$65,$S9&amp;" *"))</f>
        <v/>
      </c>
      <c r="U9" s="23">
        <f>IF($S9="","",COUNTIF(L$6:L$65,$S9&amp;" *"))</f>
        <v/>
      </c>
      <c r="V9" s="23">
        <f>IF($S9="","",COUNTIF(M$6:M$65,$S9&amp;" *"))</f>
        <v/>
      </c>
      <c r="W9" s="23">
        <f>IF($S9="","",COUNTIF(N$6:N$65,$S9&amp;" *"))</f>
        <v/>
      </c>
      <c r="X9" s="23">
        <f>IF($S9="","",COUNTIF(O$6:O$65,$S9&amp;" *"))</f>
        <v/>
      </c>
      <c r="Y9" s="23">
        <f>IF($S9="","",COUNTIF(P$6:P$65,$S9&amp;" *"))</f>
        <v/>
      </c>
    </row>
    <row r="10">
      <c r="A10" s="26" t="n">
        <v>5</v>
      </c>
      <c r="B10" s="23">
        <f>IF($C10="","",INDEX(인턴근무계획!$B$3:$B$62,$A10))</f>
        <v/>
      </c>
      <c r="C10" s="23">
        <f>IFERROR(TRIM(INDEX(인턴근무계획!$C$3:$C$62,$A10)&amp;""),"")</f>
        <v/>
      </c>
      <c r="D10" s="23">
        <f>IF($C10="","",INDEX(인턴근무계획!$D$3:$D$62,$A10))</f>
        <v/>
      </c>
      <c r="E10" s="23">
        <f>IF($C10="","",IF(IFERROR(MATCH($D10,기본자료!$B$2:$B$301,0),IFERROR(MATCH($D10&amp;"",기본자료!$B$2:$B$301,0),IFERROR(MATCH(VALUE($D10),기본자료!$B$2:$B$301,0),0)))&gt;0,"확인","미등록"))</f>
        <v/>
      </c>
      <c r="F10" s="27">
        <f>IF($C10="","",INDEX(인턴근무계획!$S$3:$S$62,$A10))</f>
        <v/>
      </c>
      <c r="G10" s="23">
        <f>IF(OR($C10="",$G$3=""),"",IF(INDEX(인턴근무계획!$M$3:$R$62,$A10,$G$3)&amp;""="","",IF(LEFT(INDEX(인턴근무계획!$M$3:$R$62,$A10,$G$3)&amp;"",1)="⚠",INDEX(인턴근무계획!$M$3:$R$62,$A10,$G$3)&amp;"",LEFT(INDEX(인턴근무계획!$M$3:$R$62,$A10,$G$3)&amp;"",FIND(" ",INDEX(인턴근무계획!$M$3:$R$62,$A10,$G$3)&amp;"")-1))))</f>
        <v/>
      </c>
      <c r="H10" s="23">
        <f>IF(OR($C10="",$G$3=""),"",IF(INDEX(인턴근무계획!$M$3:$R$62,$A10,$G$3)&amp;""="","",IF(LEFT(INDEX(인턴근무계획!$M$3:$R$62,$A10,$G$3)&amp;"",1)="⚠","",MID(INDEX(인턴근무계획!$M$3:$R$62,$A10,$G$3)&amp;"",FIND(" ",INDEX(인턴근무계획!$M$3:$R$62,$A10,$G$3)&amp;"")+1,60))))</f>
        <v/>
      </c>
      <c r="I10" s="23">
        <f>IF(OR($C10="",$I$3=""),"",IF(INDEX(인턴근무계획!$M$3:$R$62,$A10,$I$3)&amp;""="","",IF(LEFT(INDEX(인턴근무계획!$M$3:$R$62,$A10,$I$3)&amp;"",1)="⚠",INDEX(인턴근무계획!$M$3:$R$62,$A10,$I$3)&amp;"",LEFT(INDEX(인턴근무계획!$M$3:$R$62,$A10,$I$3)&amp;"",FIND(" ",INDEX(인턴근무계획!$M$3:$R$62,$A10,$I$3)&amp;"")-1))))</f>
        <v/>
      </c>
      <c r="J10" s="23">
        <f>IF(OR($C10="",$I$3=""),"",IF(INDEX(인턴근무계획!$M$3:$R$62,$A10,$I$3)&amp;""="","",IF(LEFT(INDEX(인턴근무계획!$M$3:$R$62,$A10,$I$3)&amp;"",1)="⚠","",MID(INDEX(인턴근무계획!$M$3:$R$62,$A10,$I$3)&amp;"",FIND(" ",INDEX(인턴근무계획!$M$3:$R$62,$A10,$I$3)&amp;"")+1,60))))</f>
        <v/>
      </c>
      <c r="K10" s="23">
        <f>IF($C10="","",INDEX(인턴근무계획!$M$3:$M$62,$A10)&amp;"")</f>
        <v/>
      </c>
      <c r="L10" s="23">
        <f>IF($C10="","",INDEX(인턴근무계획!$N$3:$N$62,$A10)&amp;"")</f>
        <v/>
      </c>
      <c r="M10" s="23">
        <f>IF($C10="","",INDEX(인턴근무계획!$O$3:$O$62,$A10)&amp;"")</f>
        <v/>
      </c>
      <c r="N10" s="23">
        <f>IF($C10="","",INDEX(인턴근무계획!$P$3:$P$62,$A10)&amp;"")</f>
        <v/>
      </c>
      <c r="O10" s="23">
        <f>IF($C10="","",INDEX(인턴근무계획!$Q$3:$Q$62,$A10)&amp;"")</f>
        <v/>
      </c>
      <c r="P10" s="23">
        <f>IF($C10="","",INDEX(인턴근무계획!$R$3:$R$62,$A10)&amp;"")</f>
        <v/>
      </c>
      <c r="Q10" s="23">
        <f>IF($C10="","",INDEX(인턴근무계획!$T$3:$T$62,$A10))</f>
        <v/>
      </c>
      <c r="S10" s="23">
        <f>IF(코드표!A6="","",코드표!A6)</f>
        <v/>
      </c>
      <c r="T10" s="23">
        <f>IF($S10="","",COUNTIF(K$6:K$65,$S10&amp;" *"))</f>
        <v/>
      </c>
      <c r="U10" s="23">
        <f>IF($S10="","",COUNTIF(L$6:L$65,$S10&amp;" *"))</f>
        <v/>
      </c>
      <c r="V10" s="23">
        <f>IF($S10="","",COUNTIF(M$6:M$65,$S10&amp;" *"))</f>
        <v/>
      </c>
      <c r="W10" s="23">
        <f>IF($S10="","",COUNTIF(N$6:N$65,$S10&amp;" *"))</f>
        <v/>
      </c>
      <c r="X10" s="23">
        <f>IF($S10="","",COUNTIF(O$6:O$65,$S10&amp;" *"))</f>
        <v/>
      </c>
      <c r="Y10" s="23">
        <f>IF($S10="","",COUNTIF(P$6:P$65,$S10&amp;" *"))</f>
        <v/>
      </c>
    </row>
    <row r="11">
      <c r="A11" s="26" t="n">
        <v>6</v>
      </c>
      <c r="B11" s="23">
        <f>IF($C11="","",INDEX(인턴근무계획!$B$3:$B$62,$A11))</f>
        <v/>
      </c>
      <c r="C11" s="23">
        <f>IFERROR(TRIM(INDEX(인턴근무계획!$C$3:$C$62,$A11)&amp;""),"")</f>
        <v/>
      </c>
      <c r="D11" s="23">
        <f>IF($C11="","",INDEX(인턴근무계획!$D$3:$D$62,$A11))</f>
        <v/>
      </c>
      <c r="E11" s="23">
        <f>IF($C11="","",IF(IFERROR(MATCH($D11,기본자료!$B$2:$B$301,0),IFERROR(MATCH($D11&amp;"",기본자료!$B$2:$B$301,0),IFERROR(MATCH(VALUE($D11),기본자료!$B$2:$B$301,0),0)))&gt;0,"확인","미등록"))</f>
        <v/>
      </c>
      <c r="F11" s="27">
        <f>IF($C11="","",INDEX(인턴근무계획!$S$3:$S$62,$A11))</f>
        <v/>
      </c>
      <c r="G11" s="23">
        <f>IF(OR($C11="",$G$3=""),"",IF(INDEX(인턴근무계획!$M$3:$R$62,$A11,$G$3)&amp;""="","",IF(LEFT(INDEX(인턴근무계획!$M$3:$R$62,$A11,$G$3)&amp;"",1)="⚠",INDEX(인턴근무계획!$M$3:$R$62,$A11,$G$3)&amp;"",LEFT(INDEX(인턴근무계획!$M$3:$R$62,$A11,$G$3)&amp;"",FIND(" ",INDEX(인턴근무계획!$M$3:$R$62,$A11,$G$3)&amp;"")-1))))</f>
        <v/>
      </c>
      <c r="H11" s="23">
        <f>IF(OR($C11="",$G$3=""),"",IF(INDEX(인턴근무계획!$M$3:$R$62,$A11,$G$3)&amp;""="","",IF(LEFT(INDEX(인턴근무계획!$M$3:$R$62,$A11,$G$3)&amp;"",1)="⚠","",MID(INDEX(인턴근무계획!$M$3:$R$62,$A11,$G$3)&amp;"",FIND(" ",INDEX(인턴근무계획!$M$3:$R$62,$A11,$G$3)&amp;"")+1,60))))</f>
        <v/>
      </c>
      <c r="I11" s="23">
        <f>IF(OR($C11="",$I$3=""),"",IF(INDEX(인턴근무계획!$M$3:$R$62,$A11,$I$3)&amp;""="","",IF(LEFT(INDEX(인턴근무계획!$M$3:$R$62,$A11,$I$3)&amp;"",1)="⚠",INDEX(인턴근무계획!$M$3:$R$62,$A11,$I$3)&amp;"",LEFT(INDEX(인턴근무계획!$M$3:$R$62,$A11,$I$3)&amp;"",FIND(" ",INDEX(인턴근무계획!$M$3:$R$62,$A11,$I$3)&amp;"")-1))))</f>
        <v/>
      </c>
      <c r="J11" s="23">
        <f>IF(OR($C11="",$I$3=""),"",IF(INDEX(인턴근무계획!$M$3:$R$62,$A11,$I$3)&amp;""="","",IF(LEFT(INDEX(인턴근무계획!$M$3:$R$62,$A11,$I$3)&amp;"",1)="⚠","",MID(INDEX(인턴근무계획!$M$3:$R$62,$A11,$I$3)&amp;"",FIND(" ",INDEX(인턴근무계획!$M$3:$R$62,$A11,$I$3)&amp;"")+1,60))))</f>
        <v/>
      </c>
      <c r="K11" s="23">
        <f>IF($C11="","",INDEX(인턴근무계획!$M$3:$M$62,$A11)&amp;"")</f>
        <v/>
      </c>
      <c r="L11" s="23">
        <f>IF($C11="","",INDEX(인턴근무계획!$N$3:$N$62,$A11)&amp;"")</f>
        <v/>
      </c>
      <c r="M11" s="23">
        <f>IF($C11="","",INDEX(인턴근무계획!$O$3:$O$62,$A11)&amp;"")</f>
        <v/>
      </c>
      <c r="N11" s="23">
        <f>IF($C11="","",INDEX(인턴근무계획!$P$3:$P$62,$A11)&amp;"")</f>
        <v/>
      </c>
      <c r="O11" s="23">
        <f>IF($C11="","",INDEX(인턴근무계획!$Q$3:$Q$62,$A11)&amp;"")</f>
        <v/>
      </c>
      <c r="P11" s="23">
        <f>IF($C11="","",INDEX(인턴근무계획!$R$3:$R$62,$A11)&amp;"")</f>
        <v/>
      </c>
      <c r="Q11" s="23">
        <f>IF($C11="","",INDEX(인턴근무계획!$T$3:$T$62,$A11))</f>
        <v/>
      </c>
      <c r="S11" s="23">
        <f>IF(코드표!A7="","",코드표!A7)</f>
        <v/>
      </c>
      <c r="T11" s="23">
        <f>IF($S11="","",COUNTIF(K$6:K$65,$S11&amp;" *"))</f>
        <v/>
      </c>
      <c r="U11" s="23">
        <f>IF($S11="","",COUNTIF(L$6:L$65,$S11&amp;" *"))</f>
        <v/>
      </c>
      <c r="V11" s="23">
        <f>IF($S11="","",COUNTIF(M$6:M$65,$S11&amp;" *"))</f>
        <v/>
      </c>
      <c r="W11" s="23">
        <f>IF($S11="","",COUNTIF(N$6:N$65,$S11&amp;" *"))</f>
        <v/>
      </c>
      <c r="X11" s="23">
        <f>IF($S11="","",COUNTIF(O$6:O$65,$S11&amp;" *"))</f>
        <v/>
      </c>
      <c r="Y11" s="23">
        <f>IF($S11="","",COUNTIF(P$6:P$65,$S11&amp;" *"))</f>
        <v/>
      </c>
    </row>
    <row r="12">
      <c r="A12" s="26" t="n">
        <v>7</v>
      </c>
      <c r="B12" s="23">
        <f>IF($C12="","",INDEX(인턴근무계획!$B$3:$B$62,$A12))</f>
        <v/>
      </c>
      <c r="C12" s="23">
        <f>IFERROR(TRIM(INDEX(인턴근무계획!$C$3:$C$62,$A12)&amp;""),"")</f>
        <v/>
      </c>
      <c r="D12" s="23">
        <f>IF($C12="","",INDEX(인턴근무계획!$D$3:$D$62,$A12))</f>
        <v/>
      </c>
      <c r="E12" s="23">
        <f>IF($C12="","",IF(IFERROR(MATCH($D12,기본자료!$B$2:$B$301,0),IFERROR(MATCH($D12&amp;"",기본자료!$B$2:$B$301,0),IFERROR(MATCH(VALUE($D12),기본자료!$B$2:$B$301,0),0)))&gt;0,"확인","미등록"))</f>
        <v/>
      </c>
      <c r="F12" s="27">
        <f>IF($C12="","",INDEX(인턴근무계획!$S$3:$S$62,$A12))</f>
        <v/>
      </c>
      <c r="G12" s="23">
        <f>IF(OR($C12="",$G$3=""),"",IF(INDEX(인턴근무계획!$M$3:$R$62,$A12,$G$3)&amp;""="","",IF(LEFT(INDEX(인턴근무계획!$M$3:$R$62,$A12,$G$3)&amp;"",1)="⚠",INDEX(인턴근무계획!$M$3:$R$62,$A12,$G$3)&amp;"",LEFT(INDEX(인턴근무계획!$M$3:$R$62,$A12,$G$3)&amp;"",FIND(" ",INDEX(인턴근무계획!$M$3:$R$62,$A12,$G$3)&amp;"")-1))))</f>
        <v/>
      </c>
      <c r="H12" s="23">
        <f>IF(OR($C12="",$G$3=""),"",IF(INDEX(인턴근무계획!$M$3:$R$62,$A12,$G$3)&amp;""="","",IF(LEFT(INDEX(인턴근무계획!$M$3:$R$62,$A12,$G$3)&amp;"",1)="⚠","",MID(INDEX(인턴근무계획!$M$3:$R$62,$A12,$G$3)&amp;"",FIND(" ",INDEX(인턴근무계획!$M$3:$R$62,$A12,$G$3)&amp;"")+1,60))))</f>
        <v/>
      </c>
      <c r="I12" s="23">
        <f>IF(OR($C12="",$I$3=""),"",IF(INDEX(인턴근무계획!$M$3:$R$62,$A12,$I$3)&amp;""="","",IF(LEFT(INDEX(인턴근무계획!$M$3:$R$62,$A12,$I$3)&amp;"",1)="⚠",INDEX(인턴근무계획!$M$3:$R$62,$A12,$I$3)&amp;"",LEFT(INDEX(인턴근무계획!$M$3:$R$62,$A12,$I$3)&amp;"",FIND(" ",INDEX(인턴근무계획!$M$3:$R$62,$A12,$I$3)&amp;"")-1))))</f>
        <v/>
      </c>
      <c r="J12" s="23">
        <f>IF(OR($C12="",$I$3=""),"",IF(INDEX(인턴근무계획!$M$3:$R$62,$A12,$I$3)&amp;""="","",IF(LEFT(INDEX(인턴근무계획!$M$3:$R$62,$A12,$I$3)&amp;"",1)="⚠","",MID(INDEX(인턴근무계획!$M$3:$R$62,$A12,$I$3)&amp;"",FIND(" ",INDEX(인턴근무계획!$M$3:$R$62,$A12,$I$3)&amp;"")+1,60))))</f>
        <v/>
      </c>
      <c r="K12" s="23">
        <f>IF($C12="","",INDEX(인턴근무계획!$M$3:$M$62,$A12)&amp;"")</f>
        <v/>
      </c>
      <c r="L12" s="23">
        <f>IF($C12="","",INDEX(인턴근무계획!$N$3:$N$62,$A12)&amp;"")</f>
        <v/>
      </c>
      <c r="M12" s="23">
        <f>IF($C12="","",INDEX(인턴근무계획!$O$3:$O$62,$A12)&amp;"")</f>
        <v/>
      </c>
      <c r="N12" s="23">
        <f>IF($C12="","",INDEX(인턴근무계획!$P$3:$P$62,$A12)&amp;"")</f>
        <v/>
      </c>
      <c r="O12" s="23">
        <f>IF($C12="","",INDEX(인턴근무계획!$Q$3:$Q$62,$A12)&amp;"")</f>
        <v/>
      </c>
      <c r="P12" s="23">
        <f>IF($C12="","",INDEX(인턴근무계획!$R$3:$R$62,$A12)&amp;"")</f>
        <v/>
      </c>
      <c r="Q12" s="23">
        <f>IF($C12="","",INDEX(인턴근무계획!$T$3:$T$62,$A12))</f>
        <v/>
      </c>
      <c r="S12" s="23">
        <f>IF(코드표!A8="","",코드표!A8)</f>
        <v/>
      </c>
      <c r="T12" s="23">
        <f>IF($S12="","",COUNTIF(K$6:K$65,$S12&amp;" *"))</f>
        <v/>
      </c>
      <c r="U12" s="23">
        <f>IF($S12="","",COUNTIF(L$6:L$65,$S12&amp;" *"))</f>
        <v/>
      </c>
      <c r="V12" s="23">
        <f>IF($S12="","",COUNTIF(M$6:M$65,$S12&amp;" *"))</f>
        <v/>
      </c>
      <c r="W12" s="23">
        <f>IF($S12="","",COUNTIF(N$6:N$65,$S12&amp;" *"))</f>
        <v/>
      </c>
      <c r="X12" s="23">
        <f>IF($S12="","",COUNTIF(O$6:O$65,$S12&amp;" *"))</f>
        <v/>
      </c>
      <c r="Y12" s="23">
        <f>IF($S12="","",COUNTIF(P$6:P$65,$S12&amp;" *"))</f>
        <v/>
      </c>
    </row>
    <row r="13">
      <c r="A13" s="26" t="n">
        <v>8</v>
      </c>
      <c r="B13" s="23">
        <f>IF($C13="","",INDEX(인턴근무계획!$B$3:$B$62,$A13))</f>
        <v/>
      </c>
      <c r="C13" s="23">
        <f>IFERROR(TRIM(INDEX(인턴근무계획!$C$3:$C$62,$A13)&amp;""),"")</f>
        <v/>
      </c>
      <c r="D13" s="23">
        <f>IF($C13="","",INDEX(인턴근무계획!$D$3:$D$62,$A13))</f>
        <v/>
      </c>
      <c r="E13" s="23">
        <f>IF($C13="","",IF(IFERROR(MATCH($D13,기본자료!$B$2:$B$301,0),IFERROR(MATCH($D13&amp;"",기본자료!$B$2:$B$301,0),IFERROR(MATCH(VALUE($D13),기본자료!$B$2:$B$301,0),0)))&gt;0,"확인","미등록"))</f>
        <v/>
      </c>
      <c r="F13" s="27">
        <f>IF($C13="","",INDEX(인턴근무계획!$S$3:$S$62,$A13))</f>
        <v/>
      </c>
      <c r="G13" s="23">
        <f>IF(OR($C13="",$G$3=""),"",IF(INDEX(인턴근무계획!$M$3:$R$62,$A13,$G$3)&amp;""="","",IF(LEFT(INDEX(인턴근무계획!$M$3:$R$62,$A13,$G$3)&amp;"",1)="⚠",INDEX(인턴근무계획!$M$3:$R$62,$A13,$G$3)&amp;"",LEFT(INDEX(인턴근무계획!$M$3:$R$62,$A13,$G$3)&amp;"",FIND(" ",INDEX(인턴근무계획!$M$3:$R$62,$A13,$G$3)&amp;"")-1))))</f>
        <v/>
      </c>
      <c r="H13" s="23">
        <f>IF(OR($C13="",$G$3=""),"",IF(INDEX(인턴근무계획!$M$3:$R$62,$A13,$G$3)&amp;""="","",IF(LEFT(INDEX(인턴근무계획!$M$3:$R$62,$A13,$G$3)&amp;"",1)="⚠","",MID(INDEX(인턴근무계획!$M$3:$R$62,$A13,$G$3)&amp;"",FIND(" ",INDEX(인턴근무계획!$M$3:$R$62,$A13,$G$3)&amp;"")+1,60))))</f>
        <v/>
      </c>
      <c r="I13" s="23">
        <f>IF(OR($C13="",$I$3=""),"",IF(INDEX(인턴근무계획!$M$3:$R$62,$A13,$I$3)&amp;""="","",IF(LEFT(INDEX(인턴근무계획!$M$3:$R$62,$A13,$I$3)&amp;"",1)="⚠",INDEX(인턴근무계획!$M$3:$R$62,$A13,$I$3)&amp;"",LEFT(INDEX(인턴근무계획!$M$3:$R$62,$A13,$I$3)&amp;"",FIND(" ",INDEX(인턴근무계획!$M$3:$R$62,$A13,$I$3)&amp;"")-1))))</f>
        <v/>
      </c>
      <c r="J13" s="23">
        <f>IF(OR($C13="",$I$3=""),"",IF(INDEX(인턴근무계획!$M$3:$R$62,$A13,$I$3)&amp;""="","",IF(LEFT(INDEX(인턴근무계획!$M$3:$R$62,$A13,$I$3)&amp;"",1)="⚠","",MID(INDEX(인턴근무계획!$M$3:$R$62,$A13,$I$3)&amp;"",FIND(" ",INDEX(인턴근무계획!$M$3:$R$62,$A13,$I$3)&amp;"")+1,60))))</f>
        <v/>
      </c>
      <c r="K13" s="23">
        <f>IF($C13="","",INDEX(인턴근무계획!$M$3:$M$62,$A13)&amp;"")</f>
        <v/>
      </c>
      <c r="L13" s="23">
        <f>IF($C13="","",INDEX(인턴근무계획!$N$3:$N$62,$A13)&amp;"")</f>
        <v/>
      </c>
      <c r="M13" s="23">
        <f>IF($C13="","",INDEX(인턴근무계획!$O$3:$O$62,$A13)&amp;"")</f>
        <v/>
      </c>
      <c r="N13" s="23">
        <f>IF($C13="","",INDEX(인턴근무계획!$P$3:$P$62,$A13)&amp;"")</f>
        <v/>
      </c>
      <c r="O13" s="23">
        <f>IF($C13="","",INDEX(인턴근무계획!$Q$3:$Q$62,$A13)&amp;"")</f>
        <v/>
      </c>
      <c r="P13" s="23">
        <f>IF($C13="","",INDEX(인턴근무계획!$R$3:$R$62,$A13)&amp;"")</f>
        <v/>
      </c>
      <c r="Q13" s="23">
        <f>IF($C13="","",INDEX(인턴근무계획!$T$3:$T$62,$A13))</f>
        <v/>
      </c>
      <c r="S13" s="23">
        <f>IF(코드표!A9="","",코드표!A9)</f>
        <v/>
      </c>
      <c r="T13" s="23">
        <f>IF($S13="","",COUNTIF(K$6:K$65,$S13&amp;" *"))</f>
        <v/>
      </c>
      <c r="U13" s="23">
        <f>IF($S13="","",COUNTIF(L$6:L$65,$S13&amp;" *"))</f>
        <v/>
      </c>
      <c r="V13" s="23">
        <f>IF($S13="","",COUNTIF(M$6:M$65,$S13&amp;" *"))</f>
        <v/>
      </c>
      <c r="W13" s="23">
        <f>IF($S13="","",COUNTIF(N$6:N$65,$S13&amp;" *"))</f>
        <v/>
      </c>
      <c r="X13" s="23">
        <f>IF($S13="","",COUNTIF(O$6:O$65,$S13&amp;" *"))</f>
        <v/>
      </c>
      <c r="Y13" s="23">
        <f>IF($S13="","",COUNTIF(P$6:P$65,$S13&amp;" *"))</f>
        <v/>
      </c>
    </row>
    <row r="14">
      <c r="A14" s="26" t="n">
        <v>9</v>
      </c>
      <c r="B14" s="23">
        <f>IF($C14="","",INDEX(인턴근무계획!$B$3:$B$62,$A14))</f>
        <v/>
      </c>
      <c r="C14" s="23">
        <f>IFERROR(TRIM(INDEX(인턴근무계획!$C$3:$C$62,$A14)&amp;""),"")</f>
        <v/>
      </c>
      <c r="D14" s="23">
        <f>IF($C14="","",INDEX(인턴근무계획!$D$3:$D$62,$A14))</f>
        <v/>
      </c>
      <c r="E14" s="23">
        <f>IF($C14="","",IF(IFERROR(MATCH($D14,기본자료!$B$2:$B$301,0),IFERROR(MATCH($D14&amp;"",기본자료!$B$2:$B$301,0),IFERROR(MATCH(VALUE($D14),기본자료!$B$2:$B$301,0),0)))&gt;0,"확인","미등록"))</f>
        <v/>
      </c>
      <c r="F14" s="27">
        <f>IF($C14="","",INDEX(인턴근무계획!$S$3:$S$62,$A14))</f>
        <v/>
      </c>
      <c r="G14" s="23">
        <f>IF(OR($C14="",$G$3=""),"",IF(INDEX(인턴근무계획!$M$3:$R$62,$A14,$G$3)&amp;""="","",IF(LEFT(INDEX(인턴근무계획!$M$3:$R$62,$A14,$G$3)&amp;"",1)="⚠",INDEX(인턴근무계획!$M$3:$R$62,$A14,$G$3)&amp;"",LEFT(INDEX(인턴근무계획!$M$3:$R$62,$A14,$G$3)&amp;"",FIND(" ",INDEX(인턴근무계획!$M$3:$R$62,$A14,$G$3)&amp;"")-1))))</f>
        <v/>
      </c>
      <c r="H14" s="23">
        <f>IF(OR($C14="",$G$3=""),"",IF(INDEX(인턴근무계획!$M$3:$R$62,$A14,$G$3)&amp;""="","",IF(LEFT(INDEX(인턴근무계획!$M$3:$R$62,$A14,$G$3)&amp;"",1)="⚠","",MID(INDEX(인턴근무계획!$M$3:$R$62,$A14,$G$3)&amp;"",FIND(" ",INDEX(인턴근무계획!$M$3:$R$62,$A14,$G$3)&amp;"")+1,60))))</f>
        <v/>
      </c>
      <c r="I14" s="23">
        <f>IF(OR($C14="",$I$3=""),"",IF(INDEX(인턴근무계획!$M$3:$R$62,$A14,$I$3)&amp;""="","",IF(LEFT(INDEX(인턴근무계획!$M$3:$R$62,$A14,$I$3)&amp;"",1)="⚠",INDEX(인턴근무계획!$M$3:$R$62,$A14,$I$3)&amp;"",LEFT(INDEX(인턴근무계획!$M$3:$R$62,$A14,$I$3)&amp;"",FIND(" ",INDEX(인턴근무계획!$M$3:$R$62,$A14,$I$3)&amp;"")-1))))</f>
        <v/>
      </c>
      <c r="J14" s="23">
        <f>IF(OR($C14="",$I$3=""),"",IF(INDEX(인턴근무계획!$M$3:$R$62,$A14,$I$3)&amp;""="","",IF(LEFT(INDEX(인턴근무계획!$M$3:$R$62,$A14,$I$3)&amp;"",1)="⚠","",MID(INDEX(인턴근무계획!$M$3:$R$62,$A14,$I$3)&amp;"",FIND(" ",INDEX(인턴근무계획!$M$3:$R$62,$A14,$I$3)&amp;"")+1,60))))</f>
        <v/>
      </c>
      <c r="K14" s="23">
        <f>IF($C14="","",INDEX(인턴근무계획!$M$3:$M$62,$A14)&amp;"")</f>
        <v/>
      </c>
      <c r="L14" s="23">
        <f>IF($C14="","",INDEX(인턴근무계획!$N$3:$N$62,$A14)&amp;"")</f>
        <v/>
      </c>
      <c r="M14" s="23">
        <f>IF($C14="","",INDEX(인턴근무계획!$O$3:$O$62,$A14)&amp;"")</f>
        <v/>
      </c>
      <c r="N14" s="23">
        <f>IF($C14="","",INDEX(인턴근무계획!$P$3:$P$62,$A14)&amp;"")</f>
        <v/>
      </c>
      <c r="O14" s="23">
        <f>IF($C14="","",INDEX(인턴근무계획!$Q$3:$Q$62,$A14)&amp;"")</f>
        <v/>
      </c>
      <c r="P14" s="23">
        <f>IF($C14="","",INDEX(인턴근무계획!$R$3:$R$62,$A14)&amp;"")</f>
        <v/>
      </c>
      <c r="Q14" s="23">
        <f>IF($C14="","",INDEX(인턴근무계획!$T$3:$T$62,$A14))</f>
        <v/>
      </c>
      <c r="S14" s="23">
        <f>IF(코드표!A10="","",코드표!A10)</f>
        <v/>
      </c>
      <c r="T14" s="23">
        <f>IF($S14="","",COUNTIF(K$6:K$65,$S14&amp;" *"))</f>
        <v/>
      </c>
      <c r="U14" s="23">
        <f>IF($S14="","",COUNTIF(L$6:L$65,$S14&amp;" *"))</f>
        <v/>
      </c>
      <c r="V14" s="23">
        <f>IF($S14="","",COUNTIF(M$6:M$65,$S14&amp;" *"))</f>
        <v/>
      </c>
      <c r="W14" s="23">
        <f>IF($S14="","",COUNTIF(N$6:N$65,$S14&amp;" *"))</f>
        <v/>
      </c>
      <c r="X14" s="23">
        <f>IF($S14="","",COUNTIF(O$6:O$65,$S14&amp;" *"))</f>
        <v/>
      </c>
      <c r="Y14" s="23">
        <f>IF($S14="","",COUNTIF(P$6:P$65,$S14&amp;" *"))</f>
        <v/>
      </c>
    </row>
    <row r="15">
      <c r="A15" s="26" t="n">
        <v>10</v>
      </c>
      <c r="B15" s="23">
        <f>IF($C15="","",INDEX(인턴근무계획!$B$3:$B$62,$A15))</f>
        <v/>
      </c>
      <c r="C15" s="23">
        <f>IFERROR(TRIM(INDEX(인턴근무계획!$C$3:$C$62,$A15)&amp;""),"")</f>
        <v/>
      </c>
      <c r="D15" s="23">
        <f>IF($C15="","",INDEX(인턴근무계획!$D$3:$D$62,$A15))</f>
        <v/>
      </c>
      <c r="E15" s="23">
        <f>IF($C15="","",IF(IFERROR(MATCH($D15,기본자료!$B$2:$B$301,0),IFERROR(MATCH($D15&amp;"",기본자료!$B$2:$B$301,0),IFERROR(MATCH(VALUE($D15),기본자료!$B$2:$B$301,0),0)))&gt;0,"확인","미등록"))</f>
        <v/>
      </c>
      <c r="F15" s="27">
        <f>IF($C15="","",INDEX(인턴근무계획!$S$3:$S$62,$A15))</f>
        <v/>
      </c>
      <c r="G15" s="23">
        <f>IF(OR($C15="",$G$3=""),"",IF(INDEX(인턴근무계획!$M$3:$R$62,$A15,$G$3)&amp;""="","",IF(LEFT(INDEX(인턴근무계획!$M$3:$R$62,$A15,$G$3)&amp;"",1)="⚠",INDEX(인턴근무계획!$M$3:$R$62,$A15,$G$3)&amp;"",LEFT(INDEX(인턴근무계획!$M$3:$R$62,$A15,$G$3)&amp;"",FIND(" ",INDEX(인턴근무계획!$M$3:$R$62,$A15,$G$3)&amp;"")-1))))</f>
        <v/>
      </c>
      <c r="H15" s="23">
        <f>IF(OR($C15="",$G$3=""),"",IF(INDEX(인턴근무계획!$M$3:$R$62,$A15,$G$3)&amp;""="","",IF(LEFT(INDEX(인턴근무계획!$M$3:$R$62,$A15,$G$3)&amp;"",1)="⚠","",MID(INDEX(인턴근무계획!$M$3:$R$62,$A15,$G$3)&amp;"",FIND(" ",INDEX(인턴근무계획!$M$3:$R$62,$A15,$G$3)&amp;"")+1,60))))</f>
        <v/>
      </c>
      <c r="I15" s="23">
        <f>IF(OR($C15="",$I$3=""),"",IF(INDEX(인턴근무계획!$M$3:$R$62,$A15,$I$3)&amp;""="","",IF(LEFT(INDEX(인턴근무계획!$M$3:$R$62,$A15,$I$3)&amp;"",1)="⚠",INDEX(인턴근무계획!$M$3:$R$62,$A15,$I$3)&amp;"",LEFT(INDEX(인턴근무계획!$M$3:$R$62,$A15,$I$3)&amp;"",FIND(" ",INDEX(인턴근무계획!$M$3:$R$62,$A15,$I$3)&amp;"")-1))))</f>
        <v/>
      </c>
      <c r="J15" s="23">
        <f>IF(OR($C15="",$I$3=""),"",IF(INDEX(인턴근무계획!$M$3:$R$62,$A15,$I$3)&amp;""="","",IF(LEFT(INDEX(인턴근무계획!$M$3:$R$62,$A15,$I$3)&amp;"",1)="⚠","",MID(INDEX(인턴근무계획!$M$3:$R$62,$A15,$I$3)&amp;"",FIND(" ",INDEX(인턴근무계획!$M$3:$R$62,$A15,$I$3)&amp;"")+1,60))))</f>
        <v/>
      </c>
      <c r="K15" s="23">
        <f>IF($C15="","",INDEX(인턴근무계획!$M$3:$M$62,$A15)&amp;"")</f>
        <v/>
      </c>
      <c r="L15" s="23">
        <f>IF($C15="","",INDEX(인턴근무계획!$N$3:$N$62,$A15)&amp;"")</f>
        <v/>
      </c>
      <c r="M15" s="23">
        <f>IF($C15="","",INDEX(인턴근무계획!$O$3:$O$62,$A15)&amp;"")</f>
        <v/>
      </c>
      <c r="N15" s="23">
        <f>IF($C15="","",INDEX(인턴근무계획!$P$3:$P$62,$A15)&amp;"")</f>
        <v/>
      </c>
      <c r="O15" s="23">
        <f>IF($C15="","",INDEX(인턴근무계획!$Q$3:$Q$62,$A15)&amp;"")</f>
        <v/>
      </c>
      <c r="P15" s="23">
        <f>IF($C15="","",INDEX(인턴근무계획!$R$3:$R$62,$A15)&amp;"")</f>
        <v/>
      </c>
      <c r="Q15" s="23">
        <f>IF($C15="","",INDEX(인턴근무계획!$T$3:$T$62,$A15))</f>
        <v/>
      </c>
      <c r="S15" s="23">
        <f>IF(코드표!A11="","",코드표!A11)</f>
        <v/>
      </c>
      <c r="T15" s="23">
        <f>IF($S15="","",COUNTIF(K$6:K$65,$S15&amp;" *"))</f>
        <v/>
      </c>
      <c r="U15" s="23">
        <f>IF($S15="","",COUNTIF(L$6:L$65,$S15&amp;" *"))</f>
        <v/>
      </c>
      <c r="V15" s="23">
        <f>IF($S15="","",COUNTIF(M$6:M$65,$S15&amp;" *"))</f>
        <v/>
      </c>
      <c r="W15" s="23">
        <f>IF($S15="","",COUNTIF(N$6:N$65,$S15&amp;" *"))</f>
        <v/>
      </c>
      <c r="X15" s="23">
        <f>IF($S15="","",COUNTIF(O$6:O$65,$S15&amp;" *"))</f>
        <v/>
      </c>
      <c r="Y15" s="23">
        <f>IF($S15="","",COUNTIF(P$6:P$65,$S15&amp;" *"))</f>
        <v/>
      </c>
    </row>
    <row r="16">
      <c r="A16" s="26" t="n">
        <v>11</v>
      </c>
      <c r="B16" s="23">
        <f>IF($C16="","",INDEX(인턴근무계획!$B$3:$B$62,$A16))</f>
        <v/>
      </c>
      <c r="C16" s="23">
        <f>IFERROR(TRIM(INDEX(인턴근무계획!$C$3:$C$62,$A16)&amp;""),"")</f>
        <v/>
      </c>
      <c r="D16" s="23">
        <f>IF($C16="","",INDEX(인턴근무계획!$D$3:$D$62,$A16))</f>
        <v/>
      </c>
      <c r="E16" s="23">
        <f>IF($C16="","",IF(IFERROR(MATCH($D16,기본자료!$B$2:$B$301,0),IFERROR(MATCH($D16&amp;"",기본자료!$B$2:$B$301,0),IFERROR(MATCH(VALUE($D16),기본자료!$B$2:$B$301,0),0)))&gt;0,"확인","미등록"))</f>
        <v/>
      </c>
      <c r="F16" s="27">
        <f>IF($C16="","",INDEX(인턴근무계획!$S$3:$S$62,$A16))</f>
        <v/>
      </c>
      <c r="G16" s="23">
        <f>IF(OR($C16="",$G$3=""),"",IF(INDEX(인턴근무계획!$M$3:$R$62,$A16,$G$3)&amp;""="","",IF(LEFT(INDEX(인턴근무계획!$M$3:$R$62,$A16,$G$3)&amp;"",1)="⚠",INDEX(인턴근무계획!$M$3:$R$62,$A16,$G$3)&amp;"",LEFT(INDEX(인턴근무계획!$M$3:$R$62,$A16,$G$3)&amp;"",FIND(" ",INDEX(인턴근무계획!$M$3:$R$62,$A16,$G$3)&amp;"")-1))))</f>
        <v/>
      </c>
      <c r="H16" s="23">
        <f>IF(OR($C16="",$G$3=""),"",IF(INDEX(인턴근무계획!$M$3:$R$62,$A16,$G$3)&amp;""="","",IF(LEFT(INDEX(인턴근무계획!$M$3:$R$62,$A16,$G$3)&amp;"",1)="⚠","",MID(INDEX(인턴근무계획!$M$3:$R$62,$A16,$G$3)&amp;"",FIND(" ",INDEX(인턴근무계획!$M$3:$R$62,$A16,$G$3)&amp;"")+1,60))))</f>
        <v/>
      </c>
      <c r="I16" s="23">
        <f>IF(OR($C16="",$I$3=""),"",IF(INDEX(인턴근무계획!$M$3:$R$62,$A16,$I$3)&amp;""="","",IF(LEFT(INDEX(인턴근무계획!$M$3:$R$62,$A16,$I$3)&amp;"",1)="⚠",INDEX(인턴근무계획!$M$3:$R$62,$A16,$I$3)&amp;"",LEFT(INDEX(인턴근무계획!$M$3:$R$62,$A16,$I$3)&amp;"",FIND(" ",INDEX(인턴근무계획!$M$3:$R$62,$A16,$I$3)&amp;"")-1))))</f>
        <v/>
      </c>
      <c r="J16" s="23">
        <f>IF(OR($C16="",$I$3=""),"",IF(INDEX(인턴근무계획!$M$3:$R$62,$A16,$I$3)&amp;""="","",IF(LEFT(INDEX(인턴근무계획!$M$3:$R$62,$A16,$I$3)&amp;"",1)="⚠","",MID(INDEX(인턴근무계획!$M$3:$R$62,$A16,$I$3)&amp;"",FIND(" ",INDEX(인턴근무계획!$M$3:$R$62,$A16,$I$3)&amp;"")+1,60))))</f>
        <v/>
      </c>
      <c r="K16" s="23">
        <f>IF($C16="","",INDEX(인턴근무계획!$M$3:$M$62,$A16)&amp;"")</f>
        <v/>
      </c>
      <c r="L16" s="23">
        <f>IF($C16="","",INDEX(인턴근무계획!$N$3:$N$62,$A16)&amp;"")</f>
        <v/>
      </c>
      <c r="M16" s="23">
        <f>IF($C16="","",INDEX(인턴근무계획!$O$3:$O$62,$A16)&amp;"")</f>
        <v/>
      </c>
      <c r="N16" s="23">
        <f>IF($C16="","",INDEX(인턴근무계획!$P$3:$P$62,$A16)&amp;"")</f>
        <v/>
      </c>
      <c r="O16" s="23">
        <f>IF($C16="","",INDEX(인턴근무계획!$Q$3:$Q$62,$A16)&amp;"")</f>
        <v/>
      </c>
      <c r="P16" s="23">
        <f>IF($C16="","",INDEX(인턴근무계획!$R$3:$R$62,$A16)&amp;"")</f>
        <v/>
      </c>
      <c r="Q16" s="23">
        <f>IF($C16="","",INDEX(인턴근무계획!$T$3:$T$62,$A16))</f>
        <v/>
      </c>
      <c r="S16" s="23">
        <f>IF(코드표!A12="","",코드표!A12)</f>
        <v/>
      </c>
      <c r="T16" s="23">
        <f>IF($S16="","",COUNTIF(K$6:K$65,$S16&amp;" *"))</f>
        <v/>
      </c>
      <c r="U16" s="23">
        <f>IF($S16="","",COUNTIF(L$6:L$65,$S16&amp;" *"))</f>
        <v/>
      </c>
      <c r="V16" s="23">
        <f>IF($S16="","",COUNTIF(M$6:M$65,$S16&amp;" *"))</f>
        <v/>
      </c>
      <c r="W16" s="23">
        <f>IF($S16="","",COUNTIF(N$6:N$65,$S16&amp;" *"))</f>
        <v/>
      </c>
      <c r="X16" s="23">
        <f>IF($S16="","",COUNTIF(O$6:O$65,$S16&amp;" *"))</f>
        <v/>
      </c>
      <c r="Y16" s="23">
        <f>IF($S16="","",COUNTIF(P$6:P$65,$S16&amp;" *"))</f>
        <v/>
      </c>
    </row>
    <row r="17">
      <c r="A17" s="26" t="n">
        <v>12</v>
      </c>
      <c r="B17" s="23">
        <f>IF($C17="","",INDEX(인턴근무계획!$B$3:$B$62,$A17))</f>
        <v/>
      </c>
      <c r="C17" s="23">
        <f>IFERROR(TRIM(INDEX(인턴근무계획!$C$3:$C$62,$A17)&amp;""),"")</f>
        <v/>
      </c>
      <c r="D17" s="23">
        <f>IF($C17="","",INDEX(인턴근무계획!$D$3:$D$62,$A17))</f>
        <v/>
      </c>
      <c r="E17" s="23">
        <f>IF($C17="","",IF(IFERROR(MATCH($D17,기본자료!$B$2:$B$301,0),IFERROR(MATCH($D17&amp;"",기본자료!$B$2:$B$301,0),IFERROR(MATCH(VALUE($D17),기본자료!$B$2:$B$301,0),0)))&gt;0,"확인","미등록"))</f>
        <v/>
      </c>
      <c r="F17" s="27">
        <f>IF($C17="","",INDEX(인턴근무계획!$S$3:$S$62,$A17))</f>
        <v/>
      </c>
      <c r="G17" s="23">
        <f>IF(OR($C17="",$G$3=""),"",IF(INDEX(인턴근무계획!$M$3:$R$62,$A17,$G$3)&amp;""="","",IF(LEFT(INDEX(인턴근무계획!$M$3:$R$62,$A17,$G$3)&amp;"",1)="⚠",INDEX(인턴근무계획!$M$3:$R$62,$A17,$G$3)&amp;"",LEFT(INDEX(인턴근무계획!$M$3:$R$62,$A17,$G$3)&amp;"",FIND(" ",INDEX(인턴근무계획!$M$3:$R$62,$A17,$G$3)&amp;"")-1))))</f>
        <v/>
      </c>
      <c r="H17" s="23">
        <f>IF(OR($C17="",$G$3=""),"",IF(INDEX(인턴근무계획!$M$3:$R$62,$A17,$G$3)&amp;""="","",IF(LEFT(INDEX(인턴근무계획!$M$3:$R$62,$A17,$G$3)&amp;"",1)="⚠","",MID(INDEX(인턴근무계획!$M$3:$R$62,$A17,$G$3)&amp;"",FIND(" ",INDEX(인턴근무계획!$M$3:$R$62,$A17,$G$3)&amp;"")+1,60))))</f>
        <v/>
      </c>
      <c r="I17" s="23">
        <f>IF(OR($C17="",$I$3=""),"",IF(INDEX(인턴근무계획!$M$3:$R$62,$A17,$I$3)&amp;""="","",IF(LEFT(INDEX(인턴근무계획!$M$3:$R$62,$A17,$I$3)&amp;"",1)="⚠",INDEX(인턴근무계획!$M$3:$R$62,$A17,$I$3)&amp;"",LEFT(INDEX(인턴근무계획!$M$3:$R$62,$A17,$I$3)&amp;"",FIND(" ",INDEX(인턴근무계획!$M$3:$R$62,$A17,$I$3)&amp;"")-1))))</f>
        <v/>
      </c>
      <c r="J17" s="23">
        <f>IF(OR($C17="",$I$3=""),"",IF(INDEX(인턴근무계획!$M$3:$R$62,$A17,$I$3)&amp;""="","",IF(LEFT(INDEX(인턴근무계획!$M$3:$R$62,$A17,$I$3)&amp;"",1)="⚠","",MID(INDEX(인턴근무계획!$M$3:$R$62,$A17,$I$3)&amp;"",FIND(" ",INDEX(인턴근무계획!$M$3:$R$62,$A17,$I$3)&amp;"")+1,60))))</f>
        <v/>
      </c>
      <c r="K17" s="23">
        <f>IF($C17="","",INDEX(인턴근무계획!$M$3:$M$62,$A17)&amp;"")</f>
        <v/>
      </c>
      <c r="L17" s="23">
        <f>IF($C17="","",INDEX(인턴근무계획!$N$3:$N$62,$A17)&amp;"")</f>
        <v/>
      </c>
      <c r="M17" s="23">
        <f>IF($C17="","",INDEX(인턴근무계획!$O$3:$O$62,$A17)&amp;"")</f>
        <v/>
      </c>
      <c r="N17" s="23">
        <f>IF($C17="","",INDEX(인턴근무계획!$P$3:$P$62,$A17)&amp;"")</f>
        <v/>
      </c>
      <c r="O17" s="23">
        <f>IF($C17="","",INDEX(인턴근무계획!$Q$3:$Q$62,$A17)&amp;"")</f>
        <v/>
      </c>
      <c r="P17" s="23">
        <f>IF($C17="","",INDEX(인턴근무계획!$R$3:$R$62,$A17)&amp;"")</f>
        <v/>
      </c>
      <c r="Q17" s="23">
        <f>IF($C17="","",INDEX(인턴근무계획!$T$3:$T$62,$A17))</f>
        <v/>
      </c>
      <c r="S17" s="23">
        <f>IF(코드표!A13="","",코드표!A13)</f>
        <v/>
      </c>
      <c r="T17" s="23">
        <f>IF($S17="","",COUNTIF(K$6:K$65,$S17&amp;" *"))</f>
        <v/>
      </c>
      <c r="U17" s="23">
        <f>IF($S17="","",COUNTIF(L$6:L$65,$S17&amp;" *"))</f>
        <v/>
      </c>
      <c r="V17" s="23">
        <f>IF($S17="","",COUNTIF(M$6:M$65,$S17&amp;" *"))</f>
        <v/>
      </c>
      <c r="W17" s="23">
        <f>IF($S17="","",COUNTIF(N$6:N$65,$S17&amp;" *"))</f>
        <v/>
      </c>
      <c r="X17" s="23">
        <f>IF($S17="","",COUNTIF(O$6:O$65,$S17&amp;" *"))</f>
        <v/>
      </c>
      <c r="Y17" s="23">
        <f>IF($S17="","",COUNTIF(P$6:P$65,$S17&amp;" *"))</f>
        <v/>
      </c>
    </row>
    <row r="18">
      <c r="A18" s="26" t="n">
        <v>13</v>
      </c>
      <c r="B18" s="23">
        <f>IF($C18="","",INDEX(인턴근무계획!$B$3:$B$62,$A18))</f>
        <v/>
      </c>
      <c r="C18" s="23">
        <f>IFERROR(TRIM(INDEX(인턴근무계획!$C$3:$C$62,$A18)&amp;""),"")</f>
        <v/>
      </c>
      <c r="D18" s="23">
        <f>IF($C18="","",INDEX(인턴근무계획!$D$3:$D$62,$A18))</f>
        <v/>
      </c>
      <c r="E18" s="23">
        <f>IF($C18="","",IF(IFERROR(MATCH($D18,기본자료!$B$2:$B$301,0),IFERROR(MATCH($D18&amp;"",기본자료!$B$2:$B$301,0),IFERROR(MATCH(VALUE($D18),기본자료!$B$2:$B$301,0),0)))&gt;0,"확인","미등록"))</f>
        <v/>
      </c>
      <c r="F18" s="27">
        <f>IF($C18="","",INDEX(인턴근무계획!$S$3:$S$62,$A18))</f>
        <v/>
      </c>
      <c r="G18" s="23">
        <f>IF(OR($C18="",$G$3=""),"",IF(INDEX(인턴근무계획!$M$3:$R$62,$A18,$G$3)&amp;""="","",IF(LEFT(INDEX(인턴근무계획!$M$3:$R$62,$A18,$G$3)&amp;"",1)="⚠",INDEX(인턴근무계획!$M$3:$R$62,$A18,$G$3)&amp;"",LEFT(INDEX(인턴근무계획!$M$3:$R$62,$A18,$G$3)&amp;"",FIND(" ",INDEX(인턴근무계획!$M$3:$R$62,$A18,$G$3)&amp;"")-1))))</f>
        <v/>
      </c>
      <c r="H18" s="23">
        <f>IF(OR($C18="",$G$3=""),"",IF(INDEX(인턴근무계획!$M$3:$R$62,$A18,$G$3)&amp;""="","",IF(LEFT(INDEX(인턴근무계획!$M$3:$R$62,$A18,$G$3)&amp;"",1)="⚠","",MID(INDEX(인턴근무계획!$M$3:$R$62,$A18,$G$3)&amp;"",FIND(" ",INDEX(인턴근무계획!$M$3:$R$62,$A18,$G$3)&amp;"")+1,60))))</f>
        <v/>
      </c>
      <c r="I18" s="23">
        <f>IF(OR($C18="",$I$3=""),"",IF(INDEX(인턴근무계획!$M$3:$R$62,$A18,$I$3)&amp;""="","",IF(LEFT(INDEX(인턴근무계획!$M$3:$R$62,$A18,$I$3)&amp;"",1)="⚠",INDEX(인턴근무계획!$M$3:$R$62,$A18,$I$3)&amp;"",LEFT(INDEX(인턴근무계획!$M$3:$R$62,$A18,$I$3)&amp;"",FIND(" ",INDEX(인턴근무계획!$M$3:$R$62,$A18,$I$3)&amp;"")-1))))</f>
        <v/>
      </c>
      <c r="J18" s="23">
        <f>IF(OR($C18="",$I$3=""),"",IF(INDEX(인턴근무계획!$M$3:$R$62,$A18,$I$3)&amp;""="","",IF(LEFT(INDEX(인턴근무계획!$M$3:$R$62,$A18,$I$3)&amp;"",1)="⚠","",MID(INDEX(인턴근무계획!$M$3:$R$62,$A18,$I$3)&amp;"",FIND(" ",INDEX(인턴근무계획!$M$3:$R$62,$A18,$I$3)&amp;"")+1,60))))</f>
        <v/>
      </c>
      <c r="K18" s="23">
        <f>IF($C18="","",INDEX(인턴근무계획!$M$3:$M$62,$A18)&amp;"")</f>
        <v/>
      </c>
      <c r="L18" s="23">
        <f>IF($C18="","",INDEX(인턴근무계획!$N$3:$N$62,$A18)&amp;"")</f>
        <v/>
      </c>
      <c r="M18" s="23">
        <f>IF($C18="","",INDEX(인턴근무계획!$O$3:$O$62,$A18)&amp;"")</f>
        <v/>
      </c>
      <c r="N18" s="23">
        <f>IF($C18="","",INDEX(인턴근무계획!$P$3:$P$62,$A18)&amp;"")</f>
        <v/>
      </c>
      <c r="O18" s="23">
        <f>IF($C18="","",INDEX(인턴근무계획!$Q$3:$Q$62,$A18)&amp;"")</f>
        <v/>
      </c>
      <c r="P18" s="23">
        <f>IF($C18="","",INDEX(인턴근무계획!$R$3:$R$62,$A18)&amp;"")</f>
        <v/>
      </c>
      <c r="Q18" s="23">
        <f>IF($C18="","",INDEX(인턴근무계획!$T$3:$T$62,$A18))</f>
        <v/>
      </c>
      <c r="S18" s="23">
        <f>IF(코드표!A14="","",코드표!A14)</f>
        <v/>
      </c>
      <c r="T18" s="23">
        <f>IF($S18="","",COUNTIF(K$6:K$65,$S18&amp;" *"))</f>
        <v/>
      </c>
      <c r="U18" s="23">
        <f>IF($S18="","",COUNTIF(L$6:L$65,$S18&amp;" *"))</f>
        <v/>
      </c>
      <c r="V18" s="23">
        <f>IF($S18="","",COUNTIF(M$6:M$65,$S18&amp;" *"))</f>
        <v/>
      </c>
      <c r="W18" s="23">
        <f>IF($S18="","",COUNTIF(N$6:N$65,$S18&amp;" *"))</f>
        <v/>
      </c>
      <c r="X18" s="23">
        <f>IF($S18="","",COUNTIF(O$6:O$65,$S18&amp;" *"))</f>
        <v/>
      </c>
      <c r="Y18" s="23">
        <f>IF($S18="","",COUNTIF(P$6:P$65,$S18&amp;" *"))</f>
        <v/>
      </c>
    </row>
    <row r="19">
      <c r="A19" s="26" t="n">
        <v>14</v>
      </c>
      <c r="B19" s="23">
        <f>IF($C19="","",INDEX(인턴근무계획!$B$3:$B$62,$A19))</f>
        <v/>
      </c>
      <c r="C19" s="23">
        <f>IFERROR(TRIM(INDEX(인턴근무계획!$C$3:$C$62,$A19)&amp;""),"")</f>
        <v/>
      </c>
      <c r="D19" s="23">
        <f>IF($C19="","",INDEX(인턴근무계획!$D$3:$D$62,$A19))</f>
        <v/>
      </c>
      <c r="E19" s="23">
        <f>IF($C19="","",IF(IFERROR(MATCH($D19,기본자료!$B$2:$B$301,0),IFERROR(MATCH($D19&amp;"",기본자료!$B$2:$B$301,0),IFERROR(MATCH(VALUE($D19),기본자료!$B$2:$B$301,0),0)))&gt;0,"확인","미등록"))</f>
        <v/>
      </c>
      <c r="F19" s="27">
        <f>IF($C19="","",INDEX(인턴근무계획!$S$3:$S$62,$A19))</f>
        <v/>
      </c>
      <c r="G19" s="23">
        <f>IF(OR($C19="",$G$3=""),"",IF(INDEX(인턴근무계획!$M$3:$R$62,$A19,$G$3)&amp;""="","",IF(LEFT(INDEX(인턴근무계획!$M$3:$R$62,$A19,$G$3)&amp;"",1)="⚠",INDEX(인턴근무계획!$M$3:$R$62,$A19,$G$3)&amp;"",LEFT(INDEX(인턴근무계획!$M$3:$R$62,$A19,$G$3)&amp;"",FIND(" ",INDEX(인턴근무계획!$M$3:$R$62,$A19,$G$3)&amp;"")-1))))</f>
        <v/>
      </c>
      <c r="H19" s="23">
        <f>IF(OR($C19="",$G$3=""),"",IF(INDEX(인턴근무계획!$M$3:$R$62,$A19,$G$3)&amp;""="","",IF(LEFT(INDEX(인턴근무계획!$M$3:$R$62,$A19,$G$3)&amp;"",1)="⚠","",MID(INDEX(인턴근무계획!$M$3:$R$62,$A19,$G$3)&amp;"",FIND(" ",INDEX(인턴근무계획!$M$3:$R$62,$A19,$G$3)&amp;"")+1,60))))</f>
        <v/>
      </c>
      <c r="I19" s="23">
        <f>IF(OR($C19="",$I$3=""),"",IF(INDEX(인턴근무계획!$M$3:$R$62,$A19,$I$3)&amp;""="","",IF(LEFT(INDEX(인턴근무계획!$M$3:$R$62,$A19,$I$3)&amp;"",1)="⚠",INDEX(인턴근무계획!$M$3:$R$62,$A19,$I$3)&amp;"",LEFT(INDEX(인턴근무계획!$M$3:$R$62,$A19,$I$3)&amp;"",FIND(" ",INDEX(인턴근무계획!$M$3:$R$62,$A19,$I$3)&amp;"")-1))))</f>
        <v/>
      </c>
      <c r="J19" s="23">
        <f>IF(OR($C19="",$I$3=""),"",IF(INDEX(인턴근무계획!$M$3:$R$62,$A19,$I$3)&amp;""="","",IF(LEFT(INDEX(인턴근무계획!$M$3:$R$62,$A19,$I$3)&amp;"",1)="⚠","",MID(INDEX(인턴근무계획!$M$3:$R$62,$A19,$I$3)&amp;"",FIND(" ",INDEX(인턴근무계획!$M$3:$R$62,$A19,$I$3)&amp;"")+1,60))))</f>
        <v/>
      </c>
      <c r="K19" s="23">
        <f>IF($C19="","",INDEX(인턴근무계획!$M$3:$M$62,$A19)&amp;"")</f>
        <v/>
      </c>
      <c r="L19" s="23">
        <f>IF($C19="","",INDEX(인턴근무계획!$N$3:$N$62,$A19)&amp;"")</f>
        <v/>
      </c>
      <c r="M19" s="23">
        <f>IF($C19="","",INDEX(인턴근무계획!$O$3:$O$62,$A19)&amp;"")</f>
        <v/>
      </c>
      <c r="N19" s="23">
        <f>IF($C19="","",INDEX(인턴근무계획!$P$3:$P$62,$A19)&amp;"")</f>
        <v/>
      </c>
      <c r="O19" s="23">
        <f>IF($C19="","",INDEX(인턴근무계획!$Q$3:$Q$62,$A19)&amp;"")</f>
        <v/>
      </c>
      <c r="P19" s="23">
        <f>IF($C19="","",INDEX(인턴근무계획!$R$3:$R$62,$A19)&amp;"")</f>
        <v/>
      </c>
      <c r="Q19" s="23">
        <f>IF($C19="","",INDEX(인턴근무계획!$T$3:$T$62,$A19))</f>
        <v/>
      </c>
      <c r="S19" s="23">
        <f>IF(코드표!A15="","",코드표!A15)</f>
        <v/>
      </c>
      <c r="T19" s="23">
        <f>IF($S19="","",COUNTIF(K$6:K$65,$S19&amp;" *"))</f>
        <v/>
      </c>
      <c r="U19" s="23">
        <f>IF($S19="","",COUNTIF(L$6:L$65,$S19&amp;" *"))</f>
        <v/>
      </c>
      <c r="V19" s="23">
        <f>IF($S19="","",COUNTIF(M$6:M$65,$S19&amp;" *"))</f>
        <v/>
      </c>
      <c r="W19" s="23">
        <f>IF($S19="","",COUNTIF(N$6:N$65,$S19&amp;" *"))</f>
        <v/>
      </c>
      <c r="X19" s="23">
        <f>IF($S19="","",COUNTIF(O$6:O$65,$S19&amp;" *"))</f>
        <v/>
      </c>
      <c r="Y19" s="23">
        <f>IF($S19="","",COUNTIF(P$6:P$65,$S19&amp;" *"))</f>
        <v/>
      </c>
    </row>
    <row r="20">
      <c r="A20" s="26" t="n">
        <v>15</v>
      </c>
      <c r="B20" s="23">
        <f>IF($C20="","",INDEX(인턴근무계획!$B$3:$B$62,$A20))</f>
        <v/>
      </c>
      <c r="C20" s="23">
        <f>IFERROR(TRIM(INDEX(인턴근무계획!$C$3:$C$62,$A20)&amp;""),"")</f>
        <v/>
      </c>
      <c r="D20" s="23">
        <f>IF($C20="","",INDEX(인턴근무계획!$D$3:$D$62,$A20))</f>
        <v/>
      </c>
      <c r="E20" s="23">
        <f>IF($C20="","",IF(IFERROR(MATCH($D20,기본자료!$B$2:$B$301,0),IFERROR(MATCH($D20&amp;"",기본자료!$B$2:$B$301,0),IFERROR(MATCH(VALUE($D20),기본자료!$B$2:$B$301,0),0)))&gt;0,"확인","미등록"))</f>
        <v/>
      </c>
      <c r="F20" s="27">
        <f>IF($C20="","",INDEX(인턴근무계획!$S$3:$S$62,$A20))</f>
        <v/>
      </c>
      <c r="G20" s="23">
        <f>IF(OR($C20="",$G$3=""),"",IF(INDEX(인턴근무계획!$M$3:$R$62,$A20,$G$3)&amp;""="","",IF(LEFT(INDEX(인턴근무계획!$M$3:$R$62,$A20,$G$3)&amp;"",1)="⚠",INDEX(인턴근무계획!$M$3:$R$62,$A20,$G$3)&amp;"",LEFT(INDEX(인턴근무계획!$M$3:$R$62,$A20,$G$3)&amp;"",FIND(" ",INDEX(인턴근무계획!$M$3:$R$62,$A20,$G$3)&amp;"")-1))))</f>
        <v/>
      </c>
      <c r="H20" s="23">
        <f>IF(OR($C20="",$G$3=""),"",IF(INDEX(인턴근무계획!$M$3:$R$62,$A20,$G$3)&amp;""="","",IF(LEFT(INDEX(인턴근무계획!$M$3:$R$62,$A20,$G$3)&amp;"",1)="⚠","",MID(INDEX(인턴근무계획!$M$3:$R$62,$A20,$G$3)&amp;"",FIND(" ",INDEX(인턴근무계획!$M$3:$R$62,$A20,$G$3)&amp;"")+1,60))))</f>
        <v/>
      </c>
      <c r="I20" s="23">
        <f>IF(OR($C20="",$I$3=""),"",IF(INDEX(인턴근무계획!$M$3:$R$62,$A20,$I$3)&amp;""="","",IF(LEFT(INDEX(인턴근무계획!$M$3:$R$62,$A20,$I$3)&amp;"",1)="⚠",INDEX(인턴근무계획!$M$3:$R$62,$A20,$I$3)&amp;"",LEFT(INDEX(인턴근무계획!$M$3:$R$62,$A20,$I$3)&amp;"",FIND(" ",INDEX(인턴근무계획!$M$3:$R$62,$A20,$I$3)&amp;"")-1))))</f>
        <v/>
      </c>
      <c r="J20" s="23">
        <f>IF(OR($C20="",$I$3=""),"",IF(INDEX(인턴근무계획!$M$3:$R$62,$A20,$I$3)&amp;""="","",IF(LEFT(INDEX(인턴근무계획!$M$3:$R$62,$A20,$I$3)&amp;"",1)="⚠","",MID(INDEX(인턴근무계획!$M$3:$R$62,$A20,$I$3)&amp;"",FIND(" ",INDEX(인턴근무계획!$M$3:$R$62,$A20,$I$3)&amp;"")+1,60))))</f>
        <v/>
      </c>
      <c r="K20" s="23">
        <f>IF($C20="","",INDEX(인턴근무계획!$M$3:$M$62,$A20)&amp;"")</f>
        <v/>
      </c>
      <c r="L20" s="23">
        <f>IF($C20="","",INDEX(인턴근무계획!$N$3:$N$62,$A20)&amp;"")</f>
        <v/>
      </c>
      <c r="M20" s="23">
        <f>IF($C20="","",INDEX(인턴근무계획!$O$3:$O$62,$A20)&amp;"")</f>
        <v/>
      </c>
      <c r="N20" s="23">
        <f>IF($C20="","",INDEX(인턴근무계획!$P$3:$P$62,$A20)&amp;"")</f>
        <v/>
      </c>
      <c r="O20" s="23">
        <f>IF($C20="","",INDEX(인턴근무계획!$Q$3:$Q$62,$A20)&amp;"")</f>
        <v/>
      </c>
      <c r="P20" s="23">
        <f>IF($C20="","",INDEX(인턴근무계획!$R$3:$R$62,$A20)&amp;"")</f>
        <v/>
      </c>
      <c r="Q20" s="23">
        <f>IF($C20="","",INDEX(인턴근무계획!$T$3:$T$62,$A20))</f>
        <v/>
      </c>
      <c r="S20" s="23">
        <f>IF(코드표!A16="","",코드표!A16)</f>
        <v/>
      </c>
      <c r="T20" s="23">
        <f>IF($S20="","",COUNTIF(K$6:K$65,$S20&amp;" *"))</f>
        <v/>
      </c>
      <c r="U20" s="23">
        <f>IF($S20="","",COUNTIF(L$6:L$65,$S20&amp;" *"))</f>
        <v/>
      </c>
      <c r="V20" s="23">
        <f>IF($S20="","",COUNTIF(M$6:M$65,$S20&amp;" *"))</f>
        <v/>
      </c>
      <c r="W20" s="23">
        <f>IF($S20="","",COUNTIF(N$6:N$65,$S20&amp;" *"))</f>
        <v/>
      </c>
      <c r="X20" s="23">
        <f>IF($S20="","",COUNTIF(O$6:O$65,$S20&amp;" *"))</f>
        <v/>
      </c>
      <c r="Y20" s="23">
        <f>IF($S20="","",COUNTIF(P$6:P$65,$S20&amp;" *"))</f>
        <v/>
      </c>
    </row>
    <row r="21">
      <c r="A21" s="26" t="n">
        <v>16</v>
      </c>
      <c r="B21" s="23">
        <f>IF($C21="","",INDEX(인턴근무계획!$B$3:$B$62,$A21))</f>
        <v/>
      </c>
      <c r="C21" s="23">
        <f>IFERROR(TRIM(INDEX(인턴근무계획!$C$3:$C$62,$A21)&amp;""),"")</f>
        <v/>
      </c>
      <c r="D21" s="23">
        <f>IF($C21="","",INDEX(인턴근무계획!$D$3:$D$62,$A21))</f>
        <v/>
      </c>
      <c r="E21" s="23">
        <f>IF($C21="","",IF(IFERROR(MATCH($D21,기본자료!$B$2:$B$301,0),IFERROR(MATCH($D21&amp;"",기본자료!$B$2:$B$301,0),IFERROR(MATCH(VALUE($D21),기본자료!$B$2:$B$301,0),0)))&gt;0,"확인","미등록"))</f>
        <v/>
      </c>
      <c r="F21" s="27">
        <f>IF($C21="","",INDEX(인턴근무계획!$S$3:$S$62,$A21))</f>
        <v/>
      </c>
      <c r="G21" s="23">
        <f>IF(OR($C21="",$G$3=""),"",IF(INDEX(인턴근무계획!$M$3:$R$62,$A21,$G$3)&amp;""="","",IF(LEFT(INDEX(인턴근무계획!$M$3:$R$62,$A21,$G$3)&amp;"",1)="⚠",INDEX(인턴근무계획!$M$3:$R$62,$A21,$G$3)&amp;"",LEFT(INDEX(인턴근무계획!$M$3:$R$62,$A21,$G$3)&amp;"",FIND(" ",INDEX(인턴근무계획!$M$3:$R$62,$A21,$G$3)&amp;"")-1))))</f>
        <v/>
      </c>
      <c r="H21" s="23">
        <f>IF(OR($C21="",$G$3=""),"",IF(INDEX(인턴근무계획!$M$3:$R$62,$A21,$G$3)&amp;""="","",IF(LEFT(INDEX(인턴근무계획!$M$3:$R$62,$A21,$G$3)&amp;"",1)="⚠","",MID(INDEX(인턴근무계획!$M$3:$R$62,$A21,$G$3)&amp;"",FIND(" ",INDEX(인턴근무계획!$M$3:$R$62,$A21,$G$3)&amp;"")+1,60))))</f>
        <v/>
      </c>
      <c r="I21" s="23">
        <f>IF(OR($C21="",$I$3=""),"",IF(INDEX(인턴근무계획!$M$3:$R$62,$A21,$I$3)&amp;""="","",IF(LEFT(INDEX(인턴근무계획!$M$3:$R$62,$A21,$I$3)&amp;"",1)="⚠",INDEX(인턴근무계획!$M$3:$R$62,$A21,$I$3)&amp;"",LEFT(INDEX(인턴근무계획!$M$3:$R$62,$A21,$I$3)&amp;"",FIND(" ",INDEX(인턴근무계획!$M$3:$R$62,$A21,$I$3)&amp;"")-1))))</f>
        <v/>
      </c>
      <c r="J21" s="23">
        <f>IF(OR($C21="",$I$3=""),"",IF(INDEX(인턴근무계획!$M$3:$R$62,$A21,$I$3)&amp;""="","",IF(LEFT(INDEX(인턴근무계획!$M$3:$R$62,$A21,$I$3)&amp;"",1)="⚠","",MID(INDEX(인턴근무계획!$M$3:$R$62,$A21,$I$3)&amp;"",FIND(" ",INDEX(인턴근무계획!$M$3:$R$62,$A21,$I$3)&amp;"")+1,60))))</f>
        <v/>
      </c>
      <c r="K21" s="23">
        <f>IF($C21="","",INDEX(인턴근무계획!$M$3:$M$62,$A21)&amp;"")</f>
        <v/>
      </c>
      <c r="L21" s="23">
        <f>IF($C21="","",INDEX(인턴근무계획!$N$3:$N$62,$A21)&amp;"")</f>
        <v/>
      </c>
      <c r="M21" s="23">
        <f>IF($C21="","",INDEX(인턴근무계획!$O$3:$O$62,$A21)&amp;"")</f>
        <v/>
      </c>
      <c r="N21" s="23">
        <f>IF($C21="","",INDEX(인턴근무계획!$P$3:$P$62,$A21)&amp;"")</f>
        <v/>
      </c>
      <c r="O21" s="23">
        <f>IF($C21="","",INDEX(인턴근무계획!$Q$3:$Q$62,$A21)&amp;"")</f>
        <v/>
      </c>
      <c r="P21" s="23">
        <f>IF($C21="","",INDEX(인턴근무계획!$R$3:$R$62,$A21)&amp;"")</f>
        <v/>
      </c>
      <c r="Q21" s="23">
        <f>IF($C21="","",INDEX(인턴근무계획!$T$3:$T$62,$A21))</f>
        <v/>
      </c>
      <c r="S21" s="23">
        <f>IF(코드표!A17="","",코드표!A17)</f>
        <v/>
      </c>
      <c r="T21" s="23">
        <f>IF($S21="","",COUNTIF(K$6:K$65,$S21&amp;" *"))</f>
        <v/>
      </c>
      <c r="U21" s="23">
        <f>IF($S21="","",COUNTIF(L$6:L$65,$S21&amp;" *"))</f>
        <v/>
      </c>
      <c r="V21" s="23">
        <f>IF($S21="","",COUNTIF(M$6:M$65,$S21&amp;" *"))</f>
        <v/>
      </c>
      <c r="W21" s="23">
        <f>IF($S21="","",COUNTIF(N$6:N$65,$S21&amp;" *"))</f>
        <v/>
      </c>
      <c r="X21" s="23">
        <f>IF($S21="","",COUNTIF(O$6:O$65,$S21&amp;" *"))</f>
        <v/>
      </c>
      <c r="Y21" s="23">
        <f>IF($S21="","",COUNTIF(P$6:P$65,$S21&amp;" *"))</f>
        <v/>
      </c>
    </row>
    <row r="22">
      <c r="A22" s="26" t="n">
        <v>17</v>
      </c>
      <c r="B22" s="23">
        <f>IF($C22="","",INDEX(인턴근무계획!$B$3:$B$62,$A22))</f>
        <v/>
      </c>
      <c r="C22" s="23">
        <f>IFERROR(TRIM(INDEX(인턴근무계획!$C$3:$C$62,$A22)&amp;""),"")</f>
        <v/>
      </c>
      <c r="D22" s="23">
        <f>IF($C22="","",INDEX(인턴근무계획!$D$3:$D$62,$A22))</f>
        <v/>
      </c>
      <c r="E22" s="23">
        <f>IF($C22="","",IF(IFERROR(MATCH($D22,기본자료!$B$2:$B$301,0),IFERROR(MATCH($D22&amp;"",기본자료!$B$2:$B$301,0),IFERROR(MATCH(VALUE($D22),기본자료!$B$2:$B$301,0),0)))&gt;0,"확인","미등록"))</f>
        <v/>
      </c>
      <c r="F22" s="27">
        <f>IF($C22="","",INDEX(인턴근무계획!$S$3:$S$62,$A22))</f>
        <v/>
      </c>
      <c r="G22" s="23">
        <f>IF(OR($C22="",$G$3=""),"",IF(INDEX(인턴근무계획!$M$3:$R$62,$A22,$G$3)&amp;""="","",IF(LEFT(INDEX(인턴근무계획!$M$3:$R$62,$A22,$G$3)&amp;"",1)="⚠",INDEX(인턴근무계획!$M$3:$R$62,$A22,$G$3)&amp;"",LEFT(INDEX(인턴근무계획!$M$3:$R$62,$A22,$G$3)&amp;"",FIND(" ",INDEX(인턴근무계획!$M$3:$R$62,$A22,$G$3)&amp;"")-1))))</f>
        <v/>
      </c>
      <c r="H22" s="23">
        <f>IF(OR($C22="",$G$3=""),"",IF(INDEX(인턴근무계획!$M$3:$R$62,$A22,$G$3)&amp;""="","",IF(LEFT(INDEX(인턴근무계획!$M$3:$R$62,$A22,$G$3)&amp;"",1)="⚠","",MID(INDEX(인턴근무계획!$M$3:$R$62,$A22,$G$3)&amp;"",FIND(" ",INDEX(인턴근무계획!$M$3:$R$62,$A22,$G$3)&amp;"")+1,60))))</f>
        <v/>
      </c>
      <c r="I22" s="23">
        <f>IF(OR($C22="",$I$3=""),"",IF(INDEX(인턴근무계획!$M$3:$R$62,$A22,$I$3)&amp;""="","",IF(LEFT(INDEX(인턴근무계획!$M$3:$R$62,$A22,$I$3)&amp;"",1)="⚠",INDEX(인턴근무계획!$M$3:$R$62,$A22,$I$3)&amp;"",LEFT(INDEX(인턴근무계획!$M$3:$R$62,$A22,$I$3)&amp;"",FIND(" ",INDEX(인턴근무계획!$M$3:$R$62,$A22,$I$3)&amp;"")-1))))</f>
        <v/>
      </c>
      <c r="J22" s="23">
        <f>IF(OR($C22="",$I$3=""),"",IF(INDEX(인턴근무계획!$M$3:$R$62,$A22,$I$3)&amp;""="","",IF(LEFT(INDEX(인턴근무계획!$M$3:$R$62,$A22,$I$3)&amp;"",1)="⚠","",MID(INDEX(인턴근무계획!$M$3:$R$62,$A22,$I$3)&amp;"",FIND(" ",INDEX(인턴근무계획!$M$3:$R$62,$A22,$I$3)&amp;"")+1,60))))</f>
        <v/>
      </c>
      <c r="K22" s="23">
        <f>IF($C22="","",INDEX(인턴근무계획!$M$3:$M$62,$A22)&amp;"")</f>
        <v/>
      </c>
      <c r="L22" s="23">
        <f>IF($C22="","",INDEX(인턴근무계획!$N$3:$N$62,$A22)&amp;"")</f>
        <v/>
      </c>
      <c r="M22" s="23">
        <f>IF($C22="","",INDEX(인턴근무계획!$O$3:$O$62,$A22)&amp;"")</f>
        <v/>
      </c>
      <c r="N22" s="23">
        <f>IF($C22="","",INDEX(인턴근무계획!$P$3:$P$62,$A22)&amp;"")</f>
        <v/>
      </c>
      <c r="O22" s="23">
        <f>IF($C22="","",INDEX(인턴근무계획!$Q$3:$Q$62,$A22)&amp;"")</f>
        <v/>
      </c>
      <c r="P22" s="23">
        <f>IF($C22="","",INDEX(인턴근무계획!$R$3:$R$62,$A22)&amp;"")</f>
        <v/>
      </c>
      <c r="Q22" s="23">
        <f>IF($C22="","",INDEX(인턴근무계획!$T$3:$T$62,$A22))</f>
        <v/>
      </c>
      <c r="S22" s="23">
        <f>IF(코드표!A18="","",코드표!A18)</f>
        <v/>
      </c>
      <c r="T22" s="23">
        <f>IF($S22="","",COUNTIF(K$6:K$65,$S22&amp;" *"))</f>
        <v/>
      </c>
      <c r="U22" s="23">
        <f>IF($S22="","",COUNTIF(L$6:L$65,$S22&amp;" *"))</f>
        <v/>
      </c>
      <c r="V22" s="23">
        <f>IF($S22="","",COUNTIF(M$6:M$65,$S22&amp;" *"))</f>
        <v/>
      </c>
      <c r="W22" s="23">
        <f>IF($S22="","",COUNTIF(N$6:N$65,$S22&amp;" *"))</f>
        <v/>
      </c>
      <c r="X22" s="23">
        <f>IF($S22="","",COUNTIF(O$6:O$65,$S22&amp;" *"))</f>
        <v/>
      </c>
      <c r="Y22" s="23">
        <f>IF($S22="","",COUNTIF(P$6:P$65,$S22&amp;" *"))</f>
        <v/>
      </c>
    </row>
    <row r="23">
      <c r="A23" s="26" t="n">
        <v>18</v>
      </c>
      <c r="B23" s="23">
        <f>IF($C23="","",INDEX(인턴근무계획!$B$3:$B$62,$A23))</f>
        <v/>
      </c>
      <c r="C23" s="23">
        <f>IFERROR(TRIM(INDEX(인턴근무계획!$C$3:$C$62,$A23)&amp;""),"")</f>
        <v/>
      </c>
      <c r="D23" s="23">
        <f>IF($C23="","",INDEX(인턴근무계획!$D$3:$D$62,$A23))</f>
        <v/>
      </c>
      <c r="E23" s="23">
        <f>IF($C23="","",IF(IFERROR(MATCH($D23,기본자료!$B$2:$B$301,0),IFERROR(MATCH($D23&amp;"",기본자료!$B$2:$B$301,0),IFERROR(MATCH(VALUE($D23),기본자료!$B$2:$B$301,0),0)))&gt;0,"확인","미등록"))</f>
        <v/>
      </c>
      <c r="F23" s="27">
        <f>IF($C23="","",INDEX(인턴근무계획!$S$3:$S$62,$A23))</f>
        <v/>
      </c>
      <c r="G23" s="23">
        <f>IF(OR($C23="",$G$3=""),"",IF(INDEX(인턴근무계획!$M$3:$R$62,$A23,$G$3)&amp;""="","",IF(LEFT(INDEX(인턴근무계획!$M$3:$R$62,$A23,$G$3)&amp;"",1)="⚠",INDEX(인턴근무계획!$M$3:$R$62,$A23,$G$3)&amp;"",LEFT(INDEX(인턴근무계획!$M$3:$R$62,$A23,$G$3)&amp;"",FIND(" ",INDEX(인턴근무계획!$M$3:$R$62,$A23,$G$3)&amp;"")-1))))</f>
        <v/>
      </c>
      <c r="H23" s="23">
        <f>IF(OR($C23="",$G$3=""),"",IF(INDEX(인턴근무계획!$M$3:$R$62,$A23,$G$3)&amp;""="","",IF(LEFT(INDEX(인턴근무계획!$M$3:$R$62,$A23,$G$3)&amp;"",1)="⚠","",MID(INDEX(인턴근무계획!$M$3:$R$62,$A23,$G$3)&amp;"",FIND(" ",INDEX(인턴근무계획!$M$3:$R$62,$A23,$G$3)&amp;"")+1,60))))</f>
        <v/>
      </c>
      <c r="I23" s="23">
        <f>IF(OR($C23="",$I$3=""),"",IF(INDEX(인턴근무계획!$M$3:$R$62,$A23,$I$3)&amp;""="","",IF(LEFT(INDEX(인턴근무계획!$M$3:$R$62,$A23,$I$3)&amp;"",1)="⚠",INDEX(인턴근무계획!$M$3:$R$62,$A23,$I$3)&amp;"",LEFT(INDEX(인턴근무계획!$M$3:$R$62,$A23,$I$3)&amp;"",FIND(" ",INDEX(인턴근무계획!$M$3:$R$62,$A23,$I$3)&amp;"")-1))))</f>
        <v/>
      </c>
      <c r="J23" s="23">
        <f>IF(OR($C23="",$I$3=""),"",IF(INDEX(인턴근무계획!$M$3:$R$62,$A23,$I$3)&amp;""="","",IF(LEFT(INDEX(인턴근무계획!$M$3:$R$62,$A23,$I$3)&amp;"",1)="⚠","",MID(INDEX(인턴근무계획!$M$3:$R$62,$A23,$I$3)&amp;"",FIND(" ",INDEX(인턴근무계획!$M$3:$R$62,$A23,$I$3)&amp;"")+1,60))))</f>
        <v/>
      </c>
      <c r="K23" s="23">
        <f>IF($C23="","",INDEX(인턴근무계획!$M$3:$M$62,$A23)&amp;"")</f>
        <v/>
      </c>
      <c r="L23" s="23">
        <f>IF($C23="","",INDEX(인턴근무계획!$N$3:$N$62,$A23)&amp;"")</f>
        <v/>
      </c>
      <c r="M23" s="23">
        <f>IF($C23="","",INDEX(인턴근무계획!$O$3:$O$62,$A23)&amp;"")</f>
        <v/>
      </c>
      <c r="N23" s="23">
        <f>IF($C23="","",INDEX(인턴근무계획!$P$3:$P$62,$A23)&amp;"")</f>
        <v/>
      </c>
      <c r="O23" s="23">
        <f>IF($C23="","",INDEX(인턴근무계획!$Q$3:$Q$62,$A23)&amp;"")</f>
        <v/>
      </c>
      <c r="P23" s="23">
        <f>IF($C23="","",INDEX(인턴근무계획!$R$3:$R$62,$A23)&amp;"")</f>
        <v/>
      </c>
      <c r="Q23" s="23">
        <f>IF($C23="","",INDEX(인턴근무계획!$T$3:$T$62,$A23))</f>
        <v/>
      </c>
      <c r="S23" s="23">
        <f>IF(코드표!A19="","",코드표!A19)</f>
        <v/>
      </c>
      <c r="T23" s="23">
        <f>IF($S23="","",COUNTIF(K$6:K$65,$S23&amp;" *"))</f>
        <v/>
      </c>
      <c r="U23" s="23">
        <f>IF($S23="","",COUNTIF(L$6:L$65,$S23&amp;" *"))</f>
        <v/>
      </c>
      <c r="V23" s="23">
        <f>IF($S23="","",COUNTIF(M$6:M$65,$S23&amp;" *"))</f>
        <v/>
      </c>
      <c r="W23" s="23">
        <f>IF($S23="","",COUNTIF(N$6:N$65,$S23&amp;" *"))</f>
        <v/>
      </c>
      <c r="X23" s="23">
        <f>IF($S23="","",COUNTIF(O$6:O$65,$S23&amp;" *"))</f>
        <v/>
      </c>
      <c r="Y23" s="23">
        <f>IF($S23="","",COUNTIF(P$6:P$65,$S23&amp;" *"))</f>
        <v/>
      </c>
    </row>
    <row r="24">
      <c r="A24" s="26" t="n">
        <v>19</v>
      </c>
      <c r="B24" s="23">
        <f>IF($C24="","",INDEX(인턴근무계획!$B$3:$B$62,$A24))</f>
        <v/>
      </c>
      <c r="C24" s="23">
        <f>IFERROR(TRIM(INDEX(인턴근무계획!$C$3:$C$62,$A24)&amp;""),"")</f>
        <v/>
      </c>
      <c r="D24" s="23">
        <f>IF($C24="","",INDEX(인턴근무계획!$D$3:$D$62,$A24))</f>
        <v/>
      </c>
      <c r="E24" s="23">
        <f>IF($C24="","",IF(IFERROR(MATCH($D24,기본자료!$B$2:$B$301,0),IFERROR(MATCH($D24&amp;"",기본자료!$B$2:$B$301,0),IFERROR(MATCH(VALUE($D24),기본자료!$B$2:$B$301,0),0)))&gt;0,"확인","미등록"))</f>
        <v/>
      </c>
      <c r="F24" s="27">
        <f>IF($C24="","",INDEX(인턴근무계획!$S$3:$S$62,$A24))</f>
        <v/>
      </c>
      <c r="G24" s="23">
        <f>IF(OR($C24="",$G$3=""),"",IF(INDEX(인턴근무계획!$M$3:$R$62,$A24,$G$3)&amp;""="","",IF(LEFT(INDEX(인턴근무계획!$M$3:$R$62,$A24,$G$3)&amp;"",1)="⚠",INDEX(인턴근무계획!$M$3:$R$62,$A24,$G$3)&amp;"",LEFT(INDEX(인턴근무계획!$M$3:$R$62,$A24,$G$3)&amp;"",FIND(" ",INDEX(인턴근무계획!$M$3:$R$62,$A24,$G$3)&amp;"")-1))))</f>
        <v/>
      </c>
      <c r="H24" s="23">
        <f>IF(OR($C24="",$G$3=""),"",IF(INDEX(인턴근무계획!$M$3:$R$62,$A24,$G$3)&amp;""="","",IF(LEFT(INDEX(인턴근무계획!$M$3:$R$62,$A24,$G$3)&amp;"",1)="⚠","",MID(INDEX(인턴근무계획!$M$3:$R$62,$A24,$G$3)&amp;"",FIND(" ",INDEX(인턴근무계획!$M$3:$R$62,$A24,$G$3)&amp;"")+1,60))))</f>
        <v/>
      </c>
      <c r="I24" s="23">
        <f>IF(OR($C24="",$I$3=""),"",IF(INDEX(인턴근무계획!$M$3:$R$62,$A24,$I$3)&amp;""="","",IF(LEFT(INDEX(인턴근무계획!$M$3:$R$62,$A24,$I$3)&amp;"",1)="⚠",INDEX(인턴근무계획!$M$3:$R$62,$A24,$I$3)&amp;"",LEFT(INDEX(인턴근무계획!$M$3:$R$62,$A24,$I$3)&amp;"",FIND(" ",INDEX(인턴근무계획!$M$3:$R$62,$A24,$I$3)&amp;"")-1))))</f>
        <v/>
      </c>
      <c r="J24" s="23">
        <f>IF(OR($C24="",$I$3=""),"",IF(INDEX(인턴근무계획!$M$3:$R$62,$A24,$I$3)&amp;""="","",IF(LEFT(INDEX(인턴근무계획!$M$3:$R$62,$A24,$I$3)&amp;"",1)="⚠","",MID(INDEX(인턴근무계획!$M$3:$R$62,$A24,$I$3)&amp;"",FIND(" ",INDEX(인턴근무계획!$M$3:$R$62,$A24,$I$3)&amp;"")+1,60))))</f>
        <v/>
      </c>
      <c r="K24" s="23">
        <f>IF($C24="","",INDEX(인턴근무계획!$M$3:$M$62,$A24)&amp;"")</f>
        <v/>
      </c>
      <c r="L24" s="23">
        <f>IF($C24="","",INDEX(인턴근무계획!$N$3:$N$62,$A24)&amp;"")</f>
        <v/>
      </c>
      <c r="M24" s="23">
        <f>IF($C24="","",INDEX(인턴근무계획!$O$3:$O$62,$A24)&amp;"")</f>
        <v/>
      </c>
      <c r="N24" s="23">
        <f>IF($C24="","",INDEX(인턴근무계획!$P$3:$P$62,$A24)&amp;"")</f>
        <v/>
      </c>
      <c r="O24" s="23">
        <f>IF($C24="","",INDEX(인턴근무계획!$Q$3:$Q$62,$A24)&amp;"")</f>
        <v/>
      </c>
      <c r="P24" s="23">
        <f>IF($C24="","",INDEX(인턴근무계획!$R$3:$R$62,$A24)&amp;"")</f>
        <v/>
      </c>
      <c r="Q24" s="23">
        <f>IF($C24="","",INDEX(인턴근무계획!$T$3:$T$62,$A24))</f>
        <v/>
      </c>
      <c r="S24" s="23">
        <f>IF(코드표!A20="","",코드표!A20)</f>
        <v/>
      </c>
      <c r="T24" s="23">
        <f>IF($S24="","",COUNTIF(K$6:K$65,$S24&amp;" *"))</f>
        <v/>
      </c>
      <c r="U24" s="23">
        <f>IF($S24="","",COUNTIF(L$6:L$65,$S24&amp;" *"))</f>
        <v/>
      </c>
      <c r="V24" s="23">
        <f>IF($S24="","",COUNTIF(M$6:M$65,$S24&amp;" *"))</f>
        <v/>
      </c>
      <c r="W24" s="23">
        <f>IF($S24="","",COUNTIF(N$6:N$65,$S24&amp;" *"))</f>
        <v/>
      </c>
      <c r="X24" s="23">
        <f>IF($S24="","",COUNTIF(O$6:O$65,$S24&amp;" *"))</f>
        <v/>
      </c>
      <c r="Y24" s="23">
        <f>IF($S24="","",COUNTIF(P$6:P$65,$S24&amp;" *"))</f>
        <v/>
      </c>
    </row>
    <row r="25">
      <c r="A25" s="26" t="n">
        <v>20</v>
      </c>
      <c r="B25" s="23">
        <f>IF($C25="","",INDEX(인턴근무계획!$B$3:$B$62,$A25))</f>
        <v/>
      </c>
      <c r="C25" s="23">
        <f>IFERROR(TRIM(INDEX(인턴근무계획!$C$3:$C$62,$A25)&amp;""),"")</f>
        <v/>
      </c>
      <c r="D25" s="23">
        <f>IF($C25="","",INDEX(인턴근무계획!$D$3:$D$62,$A25))</f>
        <v/>
      </c>
      <c r="E25" s="23">
        <f>IF($C25="","",IF(IFERROR(MATCH($D25,기본자료!$B$2:$B$301,0),IFERROR(MATCH($D25&amp;"",기본자료!$B$2:$B$301,0),IFERROR(MATCH(VALUE($D25),기본자료!$B$2:$B$301,0),0)))&gt;0,"확인","미등록"))</f>
        <v/>
      </c>
      <c r="F25" s="27">
        <f>IF($C25="","",INDEX(인턴근무계획!$S$3:$S$62,$A25))</f>
        <v/>
      </c>
      <c r="G25" s="23">
        <f>IF(OR($C25="",$G$3=""),"",IF(INDEX(인턴근무계획!$M$3:$R$62,$A25,$G$3)&amp;""="","",IF(LEFT(INDEX(인턴근무계획!$M$3:$R$62,$A25,$G$3)&amp;"",1)="⚠",INDEX(인턴근무계획!$M$3:$R$62,$A25,$G$3)&amp;"",LEFT(INDEX(인턴근무계획!$M$3:$R$62,$A25,$G$3)&amp;"",FIND(" ",INDEX(인턴근무계획!$M$3:$R$62,$A25,$G$3)&amp;"")-1))))</f>
        <v/>
      </c>
      <c r="H25" s="23">
        <f>IF(OR($C25="",$G$3=""),"",IF(INDEX(인턴근무계획!$M$3:$R$62,$A25,$G$3)&amp;""="","",IF(LEFT(INDEX(인턴근무계획!$M$3:$R$62,$A25,$G$3)&amp;"",1)="⚠","",MID(INDEX(인턴근무계획!$M$3:$R$62,$A25,$G$3)&amp;"",FIND(" ",INDEX(인턴근무계획!$M$3:$R$62,$A25,$G$3)&amp;"")+1,60))))</f>
        <v/>
      </c>
      <c r="I25" s="23">
        <f>IF(OR($C25="",$I$3=""),"",IF(INDEX(인턴근무계획!$M$3:$R$62,$A25,$I$3)&amp;""="","",IF(LEFT(INDEX(인턴근무계획!$M$3:$R$62,$A25,$I$3)&amp;"",1)="⚠",INDEX(인턴근무계획!$M$3:$R$62,$A25,$I$3)&amp;"",LEFT(INDEX(인턴근무계획!$M$3:$R$62,$A25,$I$3)&amp;"",FIND(" ",INDEX(인턴근무계획!$M$3:$R$62,$A25,$I$3)&amp;"")-1))))</f>
        <v/>
      </c>
      <c r="J25" s="23">
        <f>IF(OR($C25="",$I$3=""),"",IF(INDEX(인턴근무계획!$M$3:$R$62,$A25,$I$3)&amp;""="","",IF(LEFT(INDEX(인턴근무계획!$M$3:$R$62,$A25,$I$3)&amp;"",1)="⚠","",MID(INDEX(인턴근무계획!$M$3:$R$62,$A25,$I$3)&amp;"",FIND(" ",INDEX(인턴근무계획!$M$3:$R$62,$A25,$I$3)&amp;"")+1,60))))</f>
        <v/>
      </c>
      <c r="K25" s="23">
        <f>IF($C25="","",INDEX(인턴근무계획!$M$3:$M$62,$A25)&amp;"")</f>
        <v/>
      </c>
      <c r="L25" s="23">
        <f>IF($C25="","",INDEX(인턴근무계획!$N$3:$N$62,$A25)&amp;"")</f>
        <v/>
      </c>
      <c r="M25" s="23">
        <f>IF($C25="","",INDEX(인턴근무계획!$O$3:$O$62,$A25)&amp;"")</f>
        <v/>
      </c>
      <c r="N25" s="23">
        <f>IF($C25="","",INDEX(인턴근무계획!$P$3:$P$62,$A25)&amp;"")</f>
        <v/>
      </c>
      <c r="O25" s="23">
        <f>IF($C25="","",INDEX(인턴근무계획!$Q$3:$Q$62,$A25)&amp;"")</f>
        <v/>
      </c>
      <c r="P25" s="23">
        <f>IF($C25="","",INDEX(인턴근무계획!$R$3:$R$62,$A25)&amp;"")</f>
        <v/>
      </c>
      <c r="Q25" s="23">
        <f>IF($C25="","",INDEX(인턴근무계획!$T$3:$T$62,$A25))</f>
        <v/>
      </c>
      <c r="S25" s="23">
        <f>IF(코드표!A21="","",코드표!A21)</f>
        <v/>
      </c>
      <c r="T25" s="23">
        <f>IF($S25="","",COUNTIF(K$6:K$65,$S25&amp;" *"))</f>
        <v/>
      </c>
      <c r="U25" s="23">
        <f>IF($S25="","",COUNTIF(L$6:L$65,$S25&amp;" *"))</f>
        <v/>
      </c>
      <c r="V25" s="23">
        <f>IF($S25="","",COUNTIF(M$6:M$65,$S25&amp;" *"))</f>
        <v/>
      </c>
      <c r="W25" s="23">
        <f>IF($S25="","",COUNTIF(N$6:N$65,$S25&amp;" *"))</f>
        <v/>
      </c>
      <c r="X25" s="23">
        <f>IF($S25="","",COUNTIF(O$6:O$65,$S25&amp;" *"))</f>
        <v/>
      </c>
      <c r="Y25" s="23">
        <f>IF($S25="","",COUNTIF(P$6:P$65,$S25&amp;" *"))</f>
        <v/>
      </c>
    </row>
    <row r="26">
      <c r="A26" s="26" t="n">
        <v>21</v>
      </c>
      <c r="B26" s="23">
        <f>IF($C26="","",INDEX(인턴근무계획!$B$3:$B$62,$A26))</f>
        <v/>
      </c>
      <c r="C26" s="23">
        <f>IFERROR(TRIM(INDEX(인턴근무계획!$C$3:$C$62,$A26)&amp;""),"")</f>
        <v/>
      </c>
      <c r="D26" s="23">
        <f>IF($C26="","",INDEX(인턴근무계획!$D$3:$D$62,$A26))</f>
        <v/>
      </c>
      <c r="E26" s="23">
        <f>IF($C26="","",IF(IFERROR(MATCH($D26,기본자료!$B$2:$B$301,0),IFERROR(MATCH($D26&amp;"",기본자료!$B$2:$B$301,0),IFERROR(MATCH(VALUE($D26),기본자료!$B$2:$B$301,0),0)))&gt;0,"확인","미등록"))</f>
        <v/>
      </c>
      <c r="F26" s="27">
        <f>IF($C26="","",INDEX(인턴근무계획!$S$3:$S$62,$A26))</f>
        <v/>
      </c>
      <c r="G26" s="23">
        <f>IF(OR($C26="",$G$3=""),"",IF(INDEX(인턴근무계획!$M$3:$R$62,$A26,$G$3)&amp;""="","",IF(LEFT(INDEX(인턴근무계획!$M$3:$R$62,$A26,$G$3)&amp;"",1)="⚠",INDEX(인턴근무계획!$M$3:$R$62,$A26,$G$3)&amp;"",LEFT(INDEX(인턴근무계획!$M$3:$R$62,$A26,$G$3)&amp;"",FIND(" ",INDEX(인턴근무계획!$M$3:$R$62,$A26,$G$3)&amp;"")-1))))</f>
        <v/>
      </c>
      <c r="H26" s="23">
        <f>IF(OR($C26="",$G$3=""),"",IF(INDEX(인턴근무계획!$M$3:$R$62,$A26,$G$3)&amp;""="","",IF(LEFT(INDEX(인턴근무계획!$M$3:$R$62,$A26,$G$3)&amp;"",1)="⚠","",MID(INDEX(인턴근무계획!$M$3:$R$62,$A26,$G$3)&amp;"",FIND(" ",INDEX(인턴근무계획!$M$3:$R$62,$A26,$G$3)&amp;"")+1,60))))</f>
        <v/>
      </c>
      <c r="I26" s="23">
        <f>IF(OR($C26="",$I$3=""),"",IF(INDEX(인턴근무계획!$M$3:$R$62,$A26,$I$3)&amp;""="","",IF(LEFT(INDEX(인턴근무계획!$M$3:$R$62,$A26,$I$3)&amp;"",1)="⚠",INDEX(인턴근무계획!$M$3:$R$62,$A26,$I$3)&amp;"",LEFT(INDEX(인턴근무계획!$M$3:$R$62,$A26,$I$3)&amp;"",FIND(" ",INDEX(인턴근무계획!$M$3:$R$62,$A26,$I$3)&amp;"")-1))))</f>
        <v/>
      </c>
      <c r="J26" s="23">
        <f>IF(OR($C26="",$I$3=""),"",IF(INDEX(인턴근무계획!$M$3:$R$62,$A26,$I$3)&amp;""="","",IF(LEFT(INDEX(인턴근무계획!$M$3:$R$62,$A26,$I$3)&amp;"",1)="⚠","",MID(INDEX(인턴근무계획!$M$3:$R$62,$A26,$I$3)&amp;"",FIND(" ",INDEX(인턴근무계획!$M$3:$R$62,$A26,$I$3)&amp;"")+1,60))))</f>
        <v/>
      </c>
      <c r="K26" s="23">
        <f>IF($C26="","",INDEX(인턴근무계획!$M$3:$M$62,$A26)&amp;"")</f>
        <v/>
      </c>
      <c r="L26" s="23">
        <f>IF($C26="","",INDEX(인턴근무계획!$N$3:$N$62,$A26)&amp;"")</f>
        <v/>
      </c>
      <c r="M26" s="23">
        <f>IF($C26="","",INDEX(인턴근무계획!$O$3:$O$62,$A26)&amp;"")</f>
        <v/>
      </c>
      <c r="N26" s="23">
        <f>IF($C26="","",INDEX(인턴근무계획!$P$3:$P$62,$A26)&amp;"")</f>
        <v/>
      </c>
      <c r="O26" s="23">
        <f>IF($C26="","",INDEX(인턴근무계획!$Q$3:$Q$62,$A26)&amp;"")</f>
        <v/>
      </c>
      <c r="P26" s="23">
        <f>IF($C26="","",INDEX(인턴근무계획!$R$3:$R$62,$A26)&amp;"")</f>
        <v/>
      </c>
      <c r="Q26" s="23">
        <f>IF($C26="","",INDEX(인턴근무계획!$T$3:$T$62,$A26))</f>
        <v/>
      </c>
      <c r="S26" s="24" t="inlineStr">
        <is>
          <t>⚠ 오류(인식 불가)</t>
        </is>
      </c>
      <c r="T26" s="24">
        <f>COUNTIF(K$6:K$65,"⚠*")</f>
        <v/>
      </c>
      <c r="U26" s="24">
        <f>COUNTIF(L$6:L$65,"⚠*")</f>
        <v/>
      </c>
      <c r="V26" s="24">
        <f>COUNTIF(M$6:M$65,"⚠*")</f>
        <v/>
      </c>
      <c r="W26" s="24">
        <f>COUNTIF(N$6:N$65,"⚠*")</f>
        <v/>
      </c>
      <c r="X26" s="24">
        <f>COUNTIF(O$6:O$65,"⚠*")</f>
        <v/>
      </c>
      <c r="Y26" s="24">
        <f>COUNTIF(P$6:P$65,"⚠*")</f>
        <v/>
      </c>
    </row>
    <row r="27">
      <c r="A27" s="26" t="n">
        <v>22</v>
      </c>
      <c r="B27" s="23">
        <f>IF($C27="","",INDEX(인턴근무계획!$B$3:$B$62,$A27))</f>
        <v/>
      </c>
      <c r="C27" s="23">
        <f>IFERROR(TRIM(INDEX(인턴근무계획!$C$3:$C$62,$A27)&amp;""),"")</f>
        <v/>
      </c>
      <c r="D27" s="23">
        <f>IF($C27="","",INDEX(인턴근무계획!$D$3:$D$62,$A27))</f>
        <v/>
      </c>
      <c r="E27" s="23">
        <f>IF($C27="","",IF(IFERROR(MATCH($D27,기본자료!$B$2:$B$301,0),IFERROR(MATCH($D27&amp;"",기본자료!$B$2:$B$301,0),IFERROR(MATCH(VALUE($D27),기본자료!$B$2:$B$301,0),0)))&gt;0,"확인","미등록"))</f>
        <v/>
      </c>
      <c r="F27" s="27">
        <f>IF($C27="","",INDEX(인턴근무계획!$S$3:$S$62,$A27))</f>
        <v/>
      </c>
      <c r="G27" s="23">
        <f>IF(OR($C27="",$G$3=""),"",IF(INDEX(인턴근무계획!$M$3:$R$62,$A27,$G$3)&amp;""="","",IF(LEFT(INDEX(인턴근무계획!$M$3:$R$62,$A27,$G$3)&amp;"",1)="⚠",INDEX(인턴근무계획!$M$3:$R$62,$A27,$G$3)&amp;"",LEFT(INDEX(인턴근무계획!$M$3:$R$62,$A27,$G$3)&amp;"",FIND(" ",INDEX(인턴근무계획!$M$3:$R$62,$A27,$G$3)&amp;"")-1))))</f>
        <v/>
      </c>
      <c r="H27" s="23">
        <f>IF(OR($C27="",$G$3=""),"",IF(INDEX(인턴근무계획!$M$3:$R$62,$A27,$G$3)&amp;""="","",IF(LEFT(INDEX(인턴근무계획!$M$3:$R$62,$A27,$G$3)&amp;"",1)="⚠","",MID(INDEX(인턴근무계획!$M$3:$R$62,$A27,$G$3)&amp;"",FIND(" ",INDEX(인턴근무계획!$M$3:$R$62,$A27,$G$3)&amp;"")+1,60))))</f>
        <v/>
      </c>
      <c r="I27" s="23">
        <f>IF(OR($C27="",$I$3=""),"",IF(INDEX(인턴근무계획!$M$3:$R$62,$A27,$I$3)&amp;""="","",IF(LEFT(INDEX(인턴근무계획!$M$3:$R$62,$A27,$I$3)&amp;"",1)="⚠",INDEX(인턴근무계획!$M$3:$R$62,$A27,$I$3)&amp;"",LEFT(INDEX(인턴근무계획!$M$3:$R$62,$A27,$I$3)&amp;"",FIND(" ",INDEX(인턴근무계획!$M$3:$R$62,$A27,$I$3)&amp;"")-1))))</f>
        <v/>
      </c>
      <c r="J27" s="23">
        <f>IF(OR($C27="",$I$3=""),"",IF(INDEX(인턴근무계획!$M$3:$R$62,$A27,$I$3)&amp;""="","",IF(LEFT(INDEX(인턴근무계획!$M$3:$R$62,$A27,$I$3)&amp;"",1)="⚠","",MID(INDEX(인턴근무계획!$M$3:$R$62,$A27,$I$3)&amp;"",FIND(" ",INDEX(인턴근무계획!$M$3:$R$62,$A27,$I$3)&amp;"")+1,60))))</f>
        <v/>
      </c>
      <c r="K27" s="23">
        <f>IF($C27="","",INDEX(인턴근무계획!$M$3:$M$62,$A27)&amp;"")</f>
        <v/>
      </c>
      <c r="L27" s="23">
        <f>IF($C27="","",INDEX(인턴근무계획!$N$3:$N$62,$A27)&amp;"")</f>
        <v/>
      </c>
      <c r="M27" s="23">
        <f>IF($C27="","",INDEX(인턴근무계획!$O$3:$O$62,$A27)&amp;"")</f>
        <v/>
      </c>
      <c r="N27" s="23">
        <f>IF($C27="","",INDEX(인턴근무계획!$P$3:$P$62,$A27)&amp;"")</f>
        <v/>
      </c>
      <c r="O27" s="23">
        <f>IF($C27="","",INDEX(인턴근무계획!$Q$3:$Q$62,$A27)&amp;"")</f>
        <v/>
      </c>
      <c r="P27" s="23">
        <f>IF($C27="","",INDEX(인턴근무계획!$R$3:$R$62,$A27)&amp;"")</f>
        <v/>
      </c>
      <c r="Q27" s="23">
        <f>IF($C27="","",INDEX(인턴근무계획!$T$3:$T$62,$A27))</f>
        <v/>
      </c>
      <c r="S27" s="24" t="inlineStr">
        <is>
          <t>합계</t>
        </is>
      </c>
      <c r="T27" s="24">
        <f>SUM(T6:T26)</f>
        <v/>
      </c>
      <c r="U27" s="24">
        <f>SUM(U6:U26)</f>
        <v/>
      </c>
      <c r="V27" s="24">
        <f>SUM(V6:V26)</f>
        <v/>
      </c>
      <c r="W27" s="24">
        <f>SUM(W6:W26)</f>
        <v/>
      </c>
      <c r="X27" s="24">
        <f>SUM(X6:X26)</f>
        <v/>
      </c>
      <c r="Y27" s="24">
        <f>SUM(Y6:Y26)</f>
        <v/>
      </c>
    </row>
    <row r="28">
      <c r="A28" s="26" t="n">
        <v>23</v>
      </c>
      <c r="B28" s="23">
        <f>IF($C28="","",INDEX(인턴근무계획!$B$3:$B$62,$A28))</f>
        <v/>
      </c>
      <c r="C28" s="23">
        <f>IFERROR(TRIM(INDEX(인턴근무계획!$C$3:$C$62,$A28)&amp;""),"")</f>
        <v/>
      </c>
      <c r="D28" s="23">
        <f>IF($C28="","",INDEX(인턴근무계획!$D$3:$D$62,$A28))</f>
        <v/>
      </c>
      <c r="E28" s="23">
        <f>IF($C28="","",IF(IFERROR(MATCH($D28,기본자료!$B$2:$B$301,0),IFERROR(MATCH($D28&amp;"",기본자료!$B$2:$B$301,0),IFERROR(MATCH(VALUE($D28),기본자료!$B$2:$B$301,0),0)))&gt;0,"확인","미등록"))</f>
        <v/>
      </c>
      <c r="F28" s="27">
        <f>IF($C28="","",INDEX(인턴근무계획!$S$3:$S$62,$A28))</f>
        <v/>
      </c>
      <c r="G28" s="23">
        <f>IF(OR($C28="",$G$3=""),"",IF(INDEX(인턴근무계획!$M$3:$R$62,$A28,$G$3)&amp;""="","",IF(LEFT(INDEX(인턴근무계획!$M$3:$R$62,$A28,$G$3)&amp;"",1)="⚠",INDEX(인턴근무계획!$M$3:$R$62,$A28,$G$3)&amp;"",LEFT(INDEX(인턴근무계획!$M$3:$R$62,$A28,$G$3)&amp;"",FIND(" ",INDEX(인턴근무계획!$M$3:$R$62,$A28,$G$3)&amp;"")-1))))</f>
        <v/>
      </c>
      <c r="H28" s="23">
        <f>IF(OR($C28="",$G$3=""),"",IF(INDEX(인턴근무계획!$M$3:$R$62,$A28,$G$3)&amp;""="","",IF(LEFT(INDEX(인턴근무계획!$M$3:$R$62,$A28,$G$3)&amp;"",1)="⚠","",MID(INDEX(인턴근무계획!$M$3:$R$62,$A28,$G$3)&amp;"",FIND(" ",INDEX(인턴근무계획!$M$3:$R$62,$A28,$G$3)&amp;"")+1,60))))</f>
        <v/>
      </c>
      <c r="I28" s="23">
        <f>IF(OR($C28="",$I$3=""),"",IF(INDEX(인턴근무계획!$M$3:$R$62,$A28,$I$3)&amp;""="","",IF(LEFT(INDEX(인턴근무계획!$M$3:$R$62,$A28,$I$3)&amp;"",1)="⚠",INDEX(인턴근무계획!$M$3:$R$62,$A28,$I$3)&amp;"",LEFT(INDEX(인턴근무계획!$M$3:$R$62,$A28,$I$3)&amp;"",FIND(" ",INDEX(인턴근무계획!$M$3:$R$62,$A28,$I$3)&amp;"")-1))))</f>
        <v/>
      </c>
      <c r="J28" s="23">
        <f>IF(OR($C28="",$I$3=""),"",IF(INDEX(인턴근무계획!$M$3:$R$62,$A28,$I$3)&amp;""="","",IF(LEFT(INDEX(인턴근무계획!$M$3:$R$62,$A28,$I$3)&amp;"",1)="⚠","",MID(INDEX(인턴근무계획!$M$3:$R$62,$A28,$I$3)&amp;"",FIND(" ",INDEX(인턴근무계획!$M$3:$R$62,$A28,$I$3)&amp;"")+1,60))))</f>
        <v/>
      </c>
      <c r="K28" s="23">
        <f>IF($C28="","",INDEX(인턴근무계획!$M$3:$M$62,$A28)&amp;"")</f>
        <v/>
      </c>
      <c r="L28" s="23">
        <f>IF($C28="","",INDEX(인턴근무계획!$N$3:$N$62,$A28)&amp;"")</f>
        <v/>
      </c>
      <c r="M28" s="23">
        <f>IF($C28="","",INDEX(인턴근무계획!$O$3:$O$62,$A28)&amp;"")</f>
        <v/>
      </c>
      <c r="N28" s="23">
        <f>IF($C28="","",INDEX(인턴근무계획!$P$3:$P$62,$A28)&amp;"")</f>
        <v/>
      </c>
      <c r="O28" s="23">
        <f>IF($C28="","",INDEX(인턴근무계획!$Q$3:$Q$62,$A28)&amp;"")</f>
        <v/>
      </c>
      <c r="P28" s="23">
        <f>IF($C28="","",INDEX(인턴근무계획!$R$3:$R$62,$A28)&amp;"")</f>
        <v/>
      </c>
      <c r="Q28" s="23">
        <f>IF($C28="","",INDEX(인턴근무계획!$T$3:$T$62,$A28))</f>
        <v/>
      </c>
      <c r="S28" s="8" t="inlineStr">
        <is>
          <t>※ 합계는 계획표에 입력된 인턴 수와 같아야 합니다.</t>
        </is>
      </c>
    </row>
    <row r="29">
      <c r="A29" s="26" t="n">
        <v>24</v>
      </c>
      <c r="B29" s="23">
        <f>IF($C29="","",INDEX(인턴근무계획!$B$3:$B$62,$A29))</f>
        <v/>
      </c>
      <c r="C29" s="23">
        <f>IFERROR(TRIM(INDEX(인턴근무계획!$C$3:$C$62,$A29)&amp;""),"")</f>
        <v/>
      </c>
      <c r="D29" s="23">
        <f>IF($C29="","",INDEX(인턴근무계획!$D$3:$D$62,$A29))</f>
        <v/>
      </c>
      <c r="E29" s="23">
        <f>IF($C29="","",IF(IFERROR(MATCH($D29,기본자료!$B$2:$B$301,0),IFERROR(MATCH($D29&amp;"",기본자료!$B$2:$B$301,0),IFERROR(MATCH(VALUE($D29),기본자료!$B$2:$B$301,0),0)))&gt;0,"확인","미등록"))</f>
        <v/>
      </c>
      <c r="F29" s="27">
        <f>IF($C29="","",INDEX(인턴근무계획!$S$3:$S$62,$A29))</f>
        <v/>
      </c>
      <c r="G29" s="23">
        <f>IF(OR($C29="",$G$3=""),"",IF(INDEX(인턴근무계획!$M$3:$R$62,$A29,$G$3)&amp;""="","",IF(LEFT(INDEX(인턴근무계획!$M$3:$R$62,$A29,$G$3)&amp;"",1)="⚠",INDEX(인턴근무계획!$M$3:$R$62,$A29,$G$3)&amp;"",LEFT(INDEX(인턴근무계획!$M$3:$R$62,$A29,$G$3)&amp;"",FIND(" ",INDEX(인턴근무계획!$M$3:$R$62,$A29,$G$3)&amp;"")-1))))</f>
        <v/>
      </c>
      <c r="H29" s="23">
        <f>IF(OR($C29="",$G$3=""),"",IF(INDEX(인턴근무계획!$M$3:$R$62,$A29,$G$3)&amp;""="","",IF(LEFT(INDEX(인턴근무계획!$M$3:$R$62,$A29,$G$3)&amp;"",1)="⚠","",MID(INDEX(인턴근무계획!$M$3:$R$62,$A29,$G$3)&amp;"",FIND(" ",INDEX(인턴근무계획!$M$3:$R$62,$A29,$G$3)&amp;"")+1,60))))</f>
        <v/>
      </c>
      <c r="I29" s="23">
        <f>IF(OR($C29="",$I$3=""),"",IF(INDEX(인턴근무계획!$M$3:$R$62,$A29,$I$3)&amp;""="","",IF(LEFT(INDEX(인턴근무계획!$M$3:$R$62,$A29,$I$3)&amp;"",1)="⚠",INDEX(인턴근무계획!$M$3:$R$62,$A29,$I$3)&amp;"",LEFT(INDEX(인턴근무계획!$M$3:$R$62,$A29,$I$3)&amp;"",FIND(" ",INDEX(인턴근무계획!$M$3:$R$62,$A29,$I$3)&amp;"")-1))))</f>
        <v/>
      </c>
      <c r="J29" s="23">
        <f>IF(OR($C29="",$I$3=""),"",IF(INDEX(인턴근무계획!$M$3:$R$62,$A29,$I$3)&amp;""="","",IF(LEFT(INDEX(인턴근무계획!$M$3:$R$62,$A29,$I$3)&amp;"",1)="⚠","",MID(INDEX(인턴근무계획!$M$3:$R$62,$A29,$I$3)&amp;"",FIND(" ",INDEX(인턴근무계획!$M$3:$R$62,$A29,$I$3)&amp;"")+1,60))))</f>
        <v/>
      </c>
      <c r="K29" s="23">
        <f>IF($C29="","",INDEX(인턴근무계획!$M$3:$M$62,$A29)&amp;"")</f>
        <v/>
      </c>
      <c r="L29" s="23">
        <f>IF($C29="","",INDEX(인턴근무계획!$N$3:$N$62,$A29)&amp;"")</f>
        <v/>
      </c>
      <c r="M29" s="23">
        <f>IF($C29="","",INDEX(인턴근무계획!$O$3:$O$62,$A29)&amp;"")</f>
        <v/>
      </c>
      <c r="N29" s="23">
        <f>IF($C29="","",INDEX(인턴근무계획!$P$3:$P$62,$A29)&amp;"")</f>
        <v/>
      </c>
      <c r="O29" s="23">
        <f>IF($C29="","",INDEX(인턴근무계획!$Q$3:$Q$62,$A29)&amp;"")</f>
        <v/>
      </c>
      <c r="P29" s="23">
        <f>IF($C29="","",INDEX(인턴근무계획!$R$3:$R$62,$A29)&amp;"")</f>
        <v/>
      </c>
      <c r="Q29" s="23">
        <f>IF($C29="","",INDEX(인턴근무계획!$T$3:$T$62,$A29))</f>
        <v/>
      </c>
    </row>
    <row r="30">
      <c r="A30" s="26" t="n">
        <v>25</v>
      </c>
      <c r="B30" s="23">
        <f>IF($C30="","",INDEX(인턴근무계획!$B$3:$B$62,$A30))</f>
        <v/>
      </c>
      <c r="C30" s="23">
        <f>IFERROR(TRIM(INDEX(인턴근무계획!$C$3:$C$62,$A30)&amp;""),"")</f>
        <v/>
      </c>
      <c r="D30" s="23">
        <f>IF($C30="","",INDEX(인턴근무계획!$D$3:$D$62,$A30))</f>
        <v/>
      </c>
      <c r="E30" s="23">
        <f>IF($C30="","",IF(IFERROR(MATCH($D30,기본자료!$B$2:$B$301,0),IFERROR(MATCH($D30&amp;"",기본자료!$B$2:$B$301,0),IFERROR(MATCH(VALUE($D30),기본자료!$B$2:$B$301,0),0)))&gt;0,"확인","미등록"))</f>
        <v/>
      </c>
      <c r="F30" s="27">
        <f>IF($C30="","",INDEX(인턴근무계획!$S$3:$S$62,$A30))</f>
        <v/>
      </c>
      <c r="G30" s="23">
        <f>IF(OR($C30="",$G$3=""),"",IF(INDEX(인턴근무계획!$M$3:$R$62,$A30,$G$3)&amp;""="","",IF(LEFT(INDEX(인턴근무계획!$M$3:$R$62,$A30,$G$3)&amp;"",1)="⚠",INDEX(인턴근무계획!$M$3:$R$62,$A30,$G$3)&amp;"",LEFT(INDEX(인턴근무계획!$M$3:$R$62,$A30,$G$3)&amp;"",FIND(" ",INDEX(인턴근무계획!$M$3:$R$62,$A30,$G$3)&amp;"")-1))))</f>
        <v/>
      </c>
      <c r="H30" s="23">
        <f>IF(OR($C30="",$G$3=""),"",IF(INDEX(인턴근무계획!$M$3:$R$62,$A30,$G$3)&amp;""="","",IF(LEFT(INDEX(인턴근무계획!$M$3:$R$62,$A30,$G$3)&amp;"",1)="⚠","",MID(INDEX(인턴근무계획!$M$3:$R$62,$A30,$G$3)&amp;"",FIND(" ",INDEX(인턴근무계획!$M$3:$R$62,$A30,$G$3)&amp;"")+1,60))))</f>
        <v/>
      </c>
      <c r="I30" s="23">
        <f>IF(OR($C30="",$I$3=""),"",IF(INDEX(인턴근무계획!$M$3:$R$62,$A30,$I$3)&amp;""="","",IF(LEFT(INDEX(인턴근무계획!$M$3:$R$62,$A30,$I$3)&amp;"",1)="⚠",INDEX(인턴근무계획!$M$3:$R$62,$A30,$I$3)&amp;"",LEFT(INDEX(인턴근무계획!$M$3:$R$62,$A30,$I$3)&amp;"",FIND(" ",INDEX(인턴근무계획!$M$3:$R$62,$A30,$I$3)&amp;"")-1))))</f>
        <v/>
      </c>
      <c r="J30" s="23">
        <f>IF(OR($C30="",$I$3=""),"",IF(INDEX(인턴근무계획!$M$3:$R$62,$A30,$I$3)&amp;""="","",IF(LEFT(INDEX(인턴근무계획!$M$3:$R$62,$A30,$I$3)&amp;"",1)="⚠","",MID(INDEX(인턴근무계획!$M$3:$R$62,$A30,$I$3)&amp;"",FIND(" ",INDEX(인턴근무계획!$M$3:$R$62,$A30,$I$3)&amp;"")+1,60))))</f>
        <v/>
      </c>
      <c r="K30" s="23">
        <f>IF($C30="","",INDEX(인턴근무계획!$M$3:$M$62,$A30)&amp;"")</f>
        <v/>
      </c>
      <c r="L30" s="23">
        <f>IF($C30="","",INDEX(인턴근무계획!$N$3:$N$62,$A30)&amp;"")</f>
        <v/>
      </c>
      <c r="M30" s="23">
        <f>IF($C30="","",INDEX(인턴근무계획!$O$3:$O$62,$A30)&amp;"")</f>
        <v/>
      </c>
      <c r="N30" s="23">
        <f>IF($C30="","",INDEX(인턴근무계획!$P$3:$P$62,$A30)&amp;"")</f>
        <v/>
      </c>
      <c r="O30" s="23">
        <f>IF($C30="","",INDEX(인턴근무계획!$Q$3:$Q$62,$A30)&amp;"")</f>
        <v/>
      </c>
      <c r="P30" s="23">
        <f>IF($C30="","",INDEX(인턴근무계획!$R$3:$R$62,$A30)&amp;"")</f>
        <v/>
      </c>
      <c r="Q30" s="23">
        <f>IF($C30="","",INDEX(인턴근무계획!$T$3:$T$62,$A30))</f>
        <v/>
      </c>
    </row>
    <row r="31">
      <c r="A31" s="26" t="n">
        <v>26</v>
      </c>
      <c r="B31" s="23">
        <f>IF($C31="","",INDEX(인턴근무계획!$B$3:$B$62,$A31))</f>
        <v/>
      </c>
      <c r="C31" s="23">
        <f>IFERROR(TRIM(INDEX(인턴근무계획!$C$3:$C$62,$A31)&amp;""),"")</f>
        <v/>
      </c>
      <c r="D31" s="23">
        <f>IF($C31="","",INDEX(인턴근무계획!$D$3:$D$62,$A31))</f>
        <v/>
      </c>
      <c r="E31" s="23">
        <f>IF($C31="","",IF(IFERROR(MATCH($D31,기본자료!$B$2:$B$301,0),IFERROR(MATCH($D31&amp;"",기본자료!$B$2:$B$301,0),IFERROR(MATCH(VALUE($D31),기본자료!$B$2:$B$301,0),0)))&gt;0,"확인","미등록"))</f>
        <v/>
      </c>
      <c r="F31" s="27">
        <f>IF($C31="","",INDEX(인턴근무계획!$S$3:$S$62,$A31))</f>
        <v/>
      </c>
      <c r="G31" s="23">
        <f>IF(OR($C31="",$G$3=""),"",IF(INDEX(인턴근무계획!$M$3:$R$62,$A31,$G$3)&amp;""="","",IF(LEFT(INDEX(인턴근무계획!$M$3:$R$62,$A31,$G$3)&amp;"",1)="⚠",INDEX(인턴근무계획!$M$3:$R$62,$A31,$G$3)&amp;"",LEFT(INDEX(인턴근무계획!$M$3:$R$62,$A31,$G$3)&amp;"",FIND(" ",INDEX(인턴근무계획!$M$3:$R$62,$A31,$G$3)&amp;"")-1))))</f>
        <v/>
      </c>
      <c r="H31" s="23">
        <f>IF(OR($C31="",$G$3=""),"",IF(INDEX(인턴근무계획!$M$3:$R$62,$A31,$G$3)&amp;""="","",IF(LEFT(INDEX(인턴근무계획!$M$3:$R$62,$A31,$G$3)&amp;"",1)="⚠","",MID(INDEX(인턴근무계획!$M$3:$R$62,$A31,$G$3)&amp;"",FIND(" ",INDEX(인턴근무계획!$M$3:$R$62,$A31,$G$3)&amp;"")+1,60))))</f>
        <v/>
      </c>
      <c r="I31" s="23">
        <f>IF(OR($C31="",$I$3=""),"",IF(INDEX(인턴근무계획!$M$3:$R$62,$A31,$I$3)&amp;""="","",IF(LEFT(INDEX(인턴근무계획!$M$3:$R$62,$A31,$I$3)&amp;"",1)="⚠",INDEX(인턴근무계획!$M$3:$R$62,$A31,$I$3)&amp;"",LEFT(INDEX(인턴근무계획!$M$3:$R$62,$A31,$I$3)&amp;"",FIND(" ",INDEX(인턴근무계획!$M$3:$R$62,$A31,$I$3)&amp;"")-1))))</f>
        <v/>
      </c>
      <c r="J31" s="23">
        <f>IF(OR($C31="",$I$3=""),"",IF(INDEX(인턴근무계획!$M$3:$R$62,$A31,$I$3)&amp;""="","",IF(LEFT(INDEX(인턴근무계획!$M$3:$R$62,$A31,$I$3)&amp;"",1)="⚠","",MID(INDEX(인턴근무계획!$M$3:$R$62,$A31,$I$3)&amp;"",FIND(" ",INDEX(인턴근무계획!$M$3:$R$62,$A31,$I$3)&amp;"")+1,60))))</f>
        <v/>
      </c>
      <c r="K31" s="23">
        <f>IF($C31="","",INDEX(인턴근무계획!$M$3:$M$62,$A31)&amp;"")</f>
        <v/>
      </c>
      <c r="L31" s="23">
        <f>IF($C31="","",INDEX(인턴근무계획!$N$3:$N$62,$A31)&amp;"")</f>
        <v/>
      </c>
      <c r="M31" s="23">
        <f>IF($C31="","",INDEX(인턴근무계획!$O$3:$O$62,$A31)&amp;"")</f>
        <v/>
      </c>
      <c r="N31" s="23">
        <f>IF($C31="","",INDEX(인턴근무계획!$P$3:$P$62,$A31)&amp;"")</f>
        <v/>
      </c>
      <c r="O31" s="23">
        <f>IF($C31="","",INDEX(인턴근무계획!$Q$3:$Q$62,$A31)&amp;"")</f>
        <v/>
      </c>
      <c r="P31" s="23">
        <f>IF($C31="","",INDEX(인턴근무계획!$R$3:$R$62,$A31)&amp;"")</f>
        <v/>
      </c>
      <c r="Q31" s="23">
        <f>IF($C31="","",INDEX(인턴근무계획!$T$3:$T$62,$A31))</f>
        <v/>
      </c>
    </row>
    <row r="32">
      <c r="A32" s="26" t="n">
        <v>27</v>
      </c>
      <c r="B32" s="23">
        <f>IF($C32="","",INDEX(인턴근무계획!$B$3:$B$62,$A32))</f>
        <v/>
      </c>
      <c r="C32" s="23">
        <f>IFERROR(TRIM(INDEX(인턴근무계획!$C$3:$C$62,$A32)&amp;""),"")</f>
        <v/>
      </c>
      <c r="D32" s="23">
        <f>IF($C32="","",INDEX(인턴근무계획!$D$3:$D$62,$A32))</f>
        <v/>
      </c>
      <c r="E32" s="23">
        <f>IF($C32="","",IF(IFERROR(MATCH($D32,기본자료!$B$2:$B$301,0),IFERROR(MATCH($D32&amp;"",기본자료!$B$2:$B$301,0),IFERROR(MATCH(VALUE($D32),기본자료!$B$2:$B$301,0),0)))&gt;0,"확인","미등록"))</f>
        <v/>
      </c>
      <c r="F32" s="27">
        <f>IF($C32="","",INDEX(인턴근무계획!$S$3:$S$62,$A32))</f>
        <v/>
      </c>
      <c r="G32" s="23">
        <f>IF(OR($C32="",$G$3=""),"",IF(INDEX(인턴근무계획!$M$3:$R$62,$A32,$G$3)&amp;""="","",IF(LEFT(INDEX(인턴근무계획!$M$3:$R$62,$A32,$G$3)&amp;"",1)="⚠",INDEX(인턴근무계획!$M$3:$R$62,$A32,$G$3)&amp;"",LEFT(INDEX(인턴근무계획!$M$3:$R$62,$A32,$G$3)&amp;"",FIND(" ",INDEX(인턴근무계획!$M$3:$R$62,$A32,$G$3)&amp;"")-1))))</f>
        <v/>
      </c>
      <c r="H32" s="23">
        <f>IF(OR($C32="",$G$3=""),"",IF(INDEX(인턴근무계획!$M$3:$R$62,$A32,$G$3)&amp;""="","",IF(LEFT(INDEX(인턴근무계획!$M$3:$R$62,$A32,$G$3)&amp;"",1)="⚠","",MID(INDEX(인턴근무계획!$M$3:$R$62,$A32,$G$3)&amp;"",FIND(" ",INDEX(인턴근무계획!$M$3:$R$62,$A32,$G$3)&amp;"")+1,60))))</f>
        <v/>
      </c>
      <c r="I32" s="23">
        <f>IF(OR($C32="",$I$3=""),"",IF(INDEX(인턴근무계획!$M$3:$R$62,$A32,$I$3)&amp;""="","",IF(LEFT(INDEX(인턴근무계획!$M$3:$R$62,$A32,$I$3)&amp;"",1)="⚠",INDEX(인턴근무계획!$M$3:$R$62,$A32,$I$3)&amp;"",LEFT(INDEX(인턴근무계획!$M$3:$R$62,$A32,$I$3)&amp;"",FIND(" ",INDEX(인턴근무계획!$M$3:$R$62,$A32,$I$3)&amp;"")-1))))</f>
        <v/>
      </c>
      <c r="J32" s="23">
        <f>IF(OR($C32="",$I$3=""),"",IF(INDEX(인턴근무계획!$M$3:$R$62,$A32,$I$3)&amp;""="","",IF(LEFT(INDEX(인턴근무계획!$M$3:$R$62,$A32,$I$3)&amp;"",1)="⚠","",MID(INDEX(인턴근무계획!$M$3:$R$62,$A32,$I$3)&amp;"",FIND(" ",INDEX(인턴근무계획!$M$3:$R$62,$A32,$I$3)&amp;"")+1,60))))</f>
        <v/>
      </c>
      <c r="K32" s="23">
        <f>IF($C32="","",INDEX(인턴근무계획!$M$3:$M$62,$A32)&amp;"")</f>
        <v/>
      </c>
      <c r="L32" s="23">
        <f>IF($C32="","",INDEX(인턴근무계획!$N$3:$N$62,$A32)&amp;"")</f>
        <v/>
      </c>
      <c r="M32" s="23">
        <f>IF($C32="","",INDEX(인턴근무계획!$O$3:$O$62,$A32)&amp;"")</f>
        <v/>
      </c>
      <c r="N32" s="23">
        <f>IF($C32="","",INDEX(인턴근무계획!$P$3:$P$62,$A32)&amp;"")</f>
        <v/>
      </c>
      <c r="O32" s="23">
        <f>IF($C32="","",INDEX(인턴근무계획!$Q$3:$Q$62,$A32)&amp;"")</f>
        <v/>
      </c>
      <c r="P32" s="23">
        <f>IF($C32="","",INDEX(인턴근무계획!$R$3:$R$62,$A32)&amp;"")</f>
        <v/>
      </c>
      <c r="Q32" s="23">
        <f>IF($C32="","",INDEX(인턴근무계획!$T$3:$T$62,$A32))</f>
        <v/>
      </c>
    </row>
    <row r="33">
      <c r="A33" s="26" t="n">
        <v>28</v>
      </c>
      <c r="B33" s="23">
        <f>IF($C33="","",INDEX(인턴근무계획!$B$3:$B$62,$A33))</f>
        <v/>
      </c>
      <c r="C33" s="23">
        <f>IFERROR(TRIM(INDEX(인턴근무계획!$C$3:$C$62,$A33)&amp;""),"")</f>
        <v/>
      </c>
      <c r="D33" s="23">
        <f>IF($C33="","",INDEX(인턴근무계획!$D$3:$D$62,$A33))</f>
        <v/>
      </c>
      <c r="E33" s="23">
        <f>IF($C33="","",IF(IFERROR(MATCH($D33,기본자료!$B$2:$B$301,0),IFERROR(MATCH($D33&amp;"",기본자료!$B$2:$B$301,0),IFERROR(MATCH(VALUE($D33),기본자료!$B$2:$B$301,0),0)))&gt;0,"확인","미등록"))</f>
        <v/>
      </c>
      <c r="F33" s="27">
        <f>IF($C33="","",INDEX(인턴근무계획!$S$3:$S$62,$A33))</f>
        <v/>
      </c>
      <c r="G33" s="23">
        <f>IF(OR($C33="",$G$3=""),"",IF(INDEX(인턴근무계획!$M$3:$R$62,$A33,$G$3)&amp;""="","",IF(LEFT(INDEX(인턴근무계획!$M$3:$R$62,$A33,$G$3)&amp;"",1)="⚠",INDEX(인턴근무계획!$M$3:$R$62,$A33,$G$3)&amp;"",LEFT(INDEX(인턴근무계획!$M$3:$R$62,$A33,$G$3)&amp;"",FIND(" ",INDEX(인턴근무계획!$M$3:$R$62,$A33,$G$3)&amp;"")-1))))</f>
        <v/>
      </c>
      <c r="H33" s="23">
        <f>IF(OR($C33="",$G$3=""),"",IF(INDEX(인턴근무계획!$M$3:$R$62,$A33,$G$3)&amp;""="","",IF(LEFT(INDEX(인턴근무계획!$M$3:$R$62,$A33,$G$3)&amp;"",1)="⚠","",MID(INDEX(인턴근무계획!$M$3:$R$62,$A33,$G$3)&amp;"",FIND(" ",INDEX(인턴근무계획!$M$3:$R$62,$A33,$G$3)&amp;"")+1,60))))</f>
        <v/>
      </c>
      <c r="I33" s="23">
        <f>IF(OR($C33="",$I$3=""),"",IF(INDEX(인턴근무계획!$M$3:$R$62,$A33,$I$3)&amp;""="","",IF(LEFT(INDEX(인턴근무계획!$M$3:$R$62,$A33,$I$3)&amp;"",1)="⚠",INDEX(인턴근무계획!$M$3:$R$62,$A33,$I$3)&amp;"",LEFT(INDEX(인턴근무계획!$M$3:$R$62,$A33,$I$3)&amp;"",FIND(" ",INDEX(인턴근무계획!$M$3:$R$62,$A33,$I$3)&amp;"")-1))))</f>
        <v/>
      </c>
      <c r="J33" s="23">
        <f>IF(OR($C33="",$I$3=""),"",IF(INDEX(인턴근무계획!$M$3:$R$62,$A33,$I$3)&amp;""="","",IF(LEFT(INDEX(인턴근무계획!$M$3:$R$62,$A33,$I$3)&amp;"",1)="⚠","",MID(INDEX(인턴근무계획!$M$3:$R$62,$A33,$I$3)&amp;"",FIND(" ",INDEX(인턴근무계획!$M$3:$R$62,$A33,$I$3)&amp;"")+1,60))))</f>
        <v/>
      </c>
      <c r="K33" s="23">
        <f>IF($C33="","",INDEX(인턴근무계획!$M$3:$M$62,$A33)&amp;"")</f>
        <v/>
      </c>
      <c r="L33" s="23">
        <f>IF($C33="","",INDEX(인턴근무계획!$N$3:$N$62,$A33)&amp;"")</f>
        <v/>
      </c>
      <c r="M33" s="23">
        <f>IF($C33="","",INDEX(인턴근무계획!$O$3:$O$62,$A33)&amp;"")</f>
        <v/>
      </c>
      <c r="N33" s="23">
        <f>IF($C33="","",INDEX(인턴근무계획!$P$3:$P$62,$A33)&amp;"")</f>
        <v/>
      </c>
      <c r="O33" s="23">
        <f>IF($C33="","",INDEX(인턴근무계획!$Q$3:$Q$62,$A33)&amp;"")</f>
        <v/>
      </c>
      <c r="P33" s="23">
        <f>IF($C33="","",INDEX(인턴근무계획!$R$3:$R$62,$A33)&amp;"")</f>
        <v/>
      </c>
      <c r="Q33" s="23">
        <f>IF($C33="","",INDEX(인턴근무계획!$T$3:$T$62,$A33))</f>
        <v/>
      </c>
    </row>
    <row r="34">
      <c r="A34" s="26" t="n">
        <v>29</v>
      </c>
      <c r="B34" s="23">
        <f>IF($C34="","",INDEX(인턴근무계획!$B$3:$B$62,$A34))</f>
        <v/>
      </c>
      <c r="C34" s="23">
        <f>IFERROR(TRIM(INDEX(인턴근무계획!$C$3:$C$62,$A34)&amp;""),"")</f>
        <v/>
      </c>
      <c r="D34" s="23">
        <f>IF($C34="","",INDEX(인턴근무계획!$D$3:$D$62,$A34))</f>
        <v/>
      </c>
      <c r="E34" s="23">
        <f>IF($C34="","",IF(IFERROR(MATCH($D34,기본자료!$B$2:$B$301,0),IFERROR(MATCH($D34&amp;"",기본자료!$B$2:$B$301,0),IFERROR(MATCH(VALUE($D34),기본자료!$B$2:$B$301,0),0)))&gt;0,"확인","미등록"))</f>
        <v/>
      </c>
      <c r="F34" s="27">
        <f>IF($C34="","",INDEX(인턴근무계획!$S$3:$S$62,$A34))</f>
        <v/>
      </c>
      <c r="G34" s="23">
        <f>IF(OR($C34="",$G$3=""),"",IF(INDEX(인턴근무계획!$M$3:$R$62,$A34,$G$3)&amp;""="","",IF(LEFT(INDEX(인턴근무계획!$M$3:$R$62,$A34,$G$3)&amp;"",1)="⚠",INDEX(인턴근무계획!$M$3:$R$62,$A34,$G$3)&amp;"",LEFT(INDEX(인턴근무계획!$M$3:$R$62,$A34,$G$3)&amp;"",FIND(" ",INDEX(인턴근무계획!$M$3:$R$62,$A34,$G$3)&amp;"")-1))))</f>
        <v/>
      </c>
      <c r="H34" s="23">
        <f>IF(OR($C34="",$G$3=""),"",IF(INDEX(인턴근무계획!$M$3:$R$62,$A34,$G$3)&amp;""="","",IF(LEFT(INDEX(인턴근무계획!$M$3:$R$62,$A34,$G$3)&amp;"",1)="⚠","",MID(INDEX(인턴근무계획!$M$3:$R$62,$A34,$G$3)&amp;"",FIND(" ",INDEX(인턴근무계획!$M$3:$R$62,$A34,$G$3)&amp;"")+1,60))))</f>
        <v/>
      </c>
      <c r="I34" s="23">
        <f>IF(OR($C34="",$I$3=""),"",IF(INDEX(인턴근무계획!$M$3:$R$62,$A34,$I$3)&amp;""="","",IF(LEFT(INDEX(인턴근무계획!$M$3:$R$62,$A34,$I$3)&amp;"",1)="⚠",INDEX(인턴근무계획!$M$3:$R$62,$A34,$I$3)&amp;"",LEFT(INDEX(인턴근무계획!$M$3:$R$62,$A34,$I$3)&amp;"",FIND(" ",INDEX(인턴근무계획!$M$3:$R$62,$A34,$I$3)&amp;"")-1))))</f>
        <v/>
      </c>
      <c r="J34" s="23">
        <f>IF(OR($C34="",$I$3=""),"",IF(INDEX(인턴근무계획!$M$3:$R$62,$A34,$I$3)&amp;""="","",IF(LEFT(INDEX(인턴근무계획!$M$3:$R$62,$A34,$I$3)&amp;"",1)="⚠","",MID(INDEX(인턴근무계획!$M$3:$R$62,$A34,$I$3)&amp;"",FIND(" ",INDEX(인턴근무계획!$M$3:$R$62,$A34,$I$3)&amp;"")+1,60))))</f>
        <v/>
      </c>
      <c r="K34" s="23">
        <f>IF($C34="","",INDEX(인턴근무계획!$M$3:$M$62,$A34)&amp;"")</f>
        <v/>
      </c>
      <c r="L34" s="23">
        <f>IF($C34="","",INDEX(인턴근무계획!$N$3:$N$62,$A34)&amp;"")</f>
        <v/>
      </c>
      <c r="M34" s="23">
        <f>IF($C34="","",INDEX(인턴근무계획!$O$3:$O$62,$A34)&amp;"")</f>
        <v/>
      </c>
      <c r="N34" s="23">
        <f>IF($C34="","",INDEX(인턴근무계획!$P$3:$P$62,$A34)&amp;"")</f>
        <v/>
      </c>
      <c r="O34" s="23">
        <f>IF($C34="","",INDEX(인턴근무계획!$Q$3:$Q$62,$A34)&amp;"")</f>
        <v/>
      </c>
      <c r="P34" s="23">
        <f>IF($C34="","",INDEX(인턴근무계획!$R$3:$R$62,$A34)&amp;"")</f>
        <v/>
      </c>
      <c r="Q34" s="23">
        <f>IF($C34="","",INDEX(인턴근무계획!$T$3:$T$62,$A34))</f>
        <v/>
      </c>
    </row>
    <row r="35">
      <c r="A35" s="26" t="n">
        <v>30</v>
      </c>
      <c r="B35" s="23">
        <f>IF($C35="","",INDEX(인턴근무계획!$B$3:$B$62,$A35))</f>
        <v/>
      </c>
      <c r="C35" s="23">
        <f>IFERROR(TRIM(INDEX(인턴근무계획!$C$3:$C$62,$A35)&amp;""),"")</f>
        <v/>
      </c>
      <c r="D35" s="23">
        <f>IF($C35="","",INDEX(인턴근무계획!$D$3:$D$62,$A35))</f>
        <v/>
      </c>
      <c r="E35" s="23">
        <f>IF($C35="","",IF(IFERROR(MATCH($D35,기본자료!$B$2:$B$301,0),IFERROR(MATCH($D35&amp;"",기본자료!$B$2:$B$301,0),IFERROR(MATCH(VALUE($D35),기본자료!$B$2:$B$301,0),0)))&gt;0,"확인","미등록"))</f>
        <v/>
      </c>
      <c r="F35" s="27">
        <f>IF($C35="","",INDEX(인턴근무계획!$S$3:$S$62,$A35))</f>
        <v/>
      </c>
      <c r="G35" s="23">
        <f>IF(OR($C35="",$G$3=""),"",IF(INDEX(인턴근무계획!$M$3:$R$62,$A35,$G$3)&amp;""="","",IF(LEFT(INDEX(인턴근무계획!$M$3:$R$62,$A35,$G$3)&amp;"",1)="⚠",INDEX(인턴근무계획!$M$3:$R$62,$A35,$G$3)&amp;"",LEFT(INDEX(인턴근무계획!$M$3:$R$62,$A35,$G$3)&amp;"",FIND(" ",INDEX(인턴근무계획!$M$3:$R$62,$A35,$G$3)&amp;"")-1))))</f>
        <v/>
      </c>
      <c r="H35" s="23">
        <f>IF(OR($C35="",$G$3=""),"",IF(INDEX(인턴근무계획!$M$3:$R$62,$A35,$G$3)&amp;""="","",IF(LEFT(INDEX(인턴근무계획!$M$3:$R$62,$A35,$G$3)&amp;"",1)="⚠","",MID(INDEX(인턴근무계획!$M$3:$R$62,$A35,$G$3)&amp;"",FIND(" ",INDEX(인턴근무계획!$M$3:$R$62,$A35,$G$3)&amp;"")+1,60))))</f>
        <v/>
      </c>
      <c r="I35" s="23">
        <f>IF(OR($C35="",$I$3=""),"",IF(INDEX(인턴근무계획!$M$3:$R$62,$A35,$I$3)&amp;""="","",IF(LEFT(INDEX(인턴근무계획!$M$3:$R$62,$A35,$I$3)&amp;"",1)="⚠",INDEX(인턴근무계획!$M$3:$R$62,$A35,$I$3)&amp;"",LEFT(INDEX(인턴근무계획!$M$3:$R$62,$A35,$I$3)&amp;"",FIND(" ",INDEX(인턴근무계획!$M$3:$R$62,$A35,$I$3)&amp;"")-1))))</f>
        <v/>
      </c>
      <c r="J35" s="23">
        <f>IF(OR($C35="",$I$3=""),"",IF(INDEX(인턴근무계획!$M$3:$R$62,$A35,$I$3)&amp;""="","",IF(LEFT(INDEX(인턴근무계획!$M$3:$R$62,$A35,$I$3)&amp;"",1)="⚠","",MID(INDEX(인턴근무계획!$M$3:$R$62,$A35,$I$3)&amp;"",FIND(" ",INDEX(인턴근무계획!$M$3:$R$62,$A35,$I$3)&amp;"")+1,60))))</f>
        <v/>
      </c>
      <c r="K35" s="23">
        <f>IF($C35="","",INDEX(인턴근무계획!$M$3:$M$62,$A35)&amp;"")</f>
        <v/>
      </c>
      <c r="L35" s="23">
        <f>IF($C35="","",INDEX(인턴근무계획!$N$3:$N$62,$A35)&amp;"")</f>
        <v/>
      </c>
      <c r="M35" s="23">
        <f>IF($C35="","",INDEX(인턴근무계획!$O$3:$O$62,$A35)&amp;"")</f>
        <v/>
      </c>
      <c r="N35" s="23">
        <f>IF($C35="","",INDEX(인턴근무계획!$P$3:$P$62,$A35)&amp;"")</f>
        <v/>
      </c>
      <c r="O35" s="23">
        <f>IF($C35="","",INDEX(인턴근무계획!$Q$3:$Q$62,$A35)&amp;"")</f>
        <v/>
      </c>
      <c r="P35" s="23">
        <f>IF($C35="","",INDEX(인턴근무계획!$R$3:$R$62,$A35)&amp;"")</f>
        <v/>
      </c>
      <c r="Q35" s="23">
        <f>IF($C35="","",INDEX(인턴근무계획!$T$3:$T$62,$A35))</f>
        <v/>
      </c>
    </row>
    <row r="36">
      <c r="A36" s="26" t="n">
        <v>31</v>
      </c>
      <c r="B36" s="23">
        <f>IF($C36="","",INDEX(인턴근무계획!$B$3:$B$62,$A36))</f>
        <v/>
      </c>
      <c r="C36" s="23">
        <f>IFERROR(TRIM(INDEX(인턴근무계획!$C$3:$C$62,$A36)&amp;""),"")</f>
        <v/>
      </c>
      <c r="D36" s="23">
        <f>IF($C36="","",INDEX(인턴근무계획!$D$3:$D$62,$A36))</f>
        <v/>
      </c>
      <c r="E36" s="23">
        <f>IF($C36="","",IF(IFERROR(MATCH($D36,기본자료!$B$2:$B$301,0),IFERROR(MATCH($D36&amp;"",기본자료!$B$2:$B$301,0),IFERROR(MATCH(VALUE($D36),기본자료!$B$2:$B$301,0),0)))&gt;0,"확인","미등록"))</f>
        <v/>
      </c>
      <c r="F36" s="27">
        <f>IF($C36="","",INDEX(인턴근무계획!$S$3:$S$62,$A36))</f>
        <v/>
      </c>
      <c r="G36" s="23">
        <f>IF(OR($C36="",$G$3=""),"",IF(INDEX(인턴근무계획!$M$3:$R$62,$A36,$G$3)&amp;""="","",IF(LEFT(INDEX(인턴근무계획!$M$3:$R$62,$A36,$G$3)&amp;"",1)="⚠",INDEX(인턴근무계획!$M$3:$R$62,$A36,$G$3)&amp;"",LEFT(INDEX(인턴근무계획!$M$3:$R$62,$A36,$G$3)&amp;"",FIND(" ",INDEX(인턴근무계획!$M$3:$R$62,$A36,$G$3)&amp;"")-1))))</f>
        <v/>
      </c>
      <c r="H36" s="23">
        <f>IF(OR($C36="",$G$3=""),"",IF(INDEX(인턴근무계획!$M$3:$R$62,$A36,$G$3)&amp;""="","",IF(LEFT(INDEX(인턴근무계획!$M$3:$R$62,$A36,$G$3)&amp;"",1)="⚠","",MID(INDEX(인턴근무계획!$M$3:$R$62,$A36,$G$3)&amp;"",FIND(" ",INDEX(인턴근무계획!$M$3:$R$62,$A36,$G$3)&amp;"")+1,60))))</f>
        <v/>
      </c>
      <c r="I36" s="23">
        <f>IF(OR($C36="",$I$3=""),"",IF(INDEX(인턴근무계획!$M$3:$R$62,$A36,$I$3)&amp;""="","",IF(LEFT(INDEX(인턴근무계획!$M$3:$R$62,$A36,$I$3)&amp;"",1)="⚠",INDEX(인턴근무계획!$M$3:$R$62,$A36,$I$3)&amp;"",LEFT(INDEX(인턴근무계획!$M$3:$R$62,$A36,$I$3)&amp;"",FIND(" ",INDEX(인턴근무계획!$M$3:$R$62,$A36,$I$3)&amp;"")-1))))</f>
        <v/>
      </c>
      <c r="J36" s="23">
        <f>IF(OR($C36="",$I$3=""),"",IF(INDEX(인턴근무계획!$M$3:$R$62,$A36,$I$3)&amp;""="","",IF(LEFT(INDEX(인턴근무계획!$M$3:$R$62,$A36,$I$3)&amp;"",1)="⚠","",MID(INDEX(인턴근무계획!$M$3:$R$62,$A36,$I$3)&amp;"",FIND(" ",INDEX(인턴근무계획!$M$3:$R$62,$A36,$I$3)&amp;"")+1,60))))</f>
        <v/>
      </c>
      <c r="K36" s="23">
        <f>IF($C36="","",INDEX(인턴근무계획!$M$3:$M$62,$A36)&amp;"")</f>
        <v/>
      </c>
      <c r="L36" s="23">
        <f>IF($C36="","",INDEX(인턴근무계획!$N$3:$N$62,$A36)&amp;"")</f>
        <v/>
      </c>
      <c r="M36" s="23">
        <f>IF($C36="","",INDEX(인턴근무계획!$O$3:$O$62,$A36)&amp;"")</f>
        <v/>
      </c>
      <c r="N36" s="23">
        <f>IF($C36="","",INDEX(인턴근무계획!$P$3:$P$62,$A36)&amp;"")</f>
        <v/>
      </c>
      <c r="O36" s="23">
        <f>IF($C36="","",INDEX(인턴근무계획!$Q$3:$Q$62,$A36)&amp;"")</f>
        <v/>
      </c>
      <c r="P36" s="23">
        <f>IF($C36="","",INDEX(인턴근무계획!$R$3:$R$62,$A36)&amp;"")</f>
        <v/>
      </c>
      <c r="Q36" s="23">
        <f>IF($C36="","",INDEX(인턴근무계획!$T$3:$T$62,$A36))</f>
        <v/>
      </c>
    </row>
    <row r="37">
      <c r="A37" s="26" t="n">
        <v>32</v>
      </c>
      <c r="B37" s="23">
        <f>IF($C37="","",INDEX(인턴근무계획!$B$3:$B$62,$A37))</f>
        <v/>
      </c>
      <c r="C37" s="23">
        <f>IFERROR(TRIM(INDEX(인턴근무계획!$C$3:$C$62,$A37)&amp;""),"")</f>
        <v/>
      </c>
      <c r="D37" s="23">
        <f>IF($C37="","",INDEX(인턴근무계획!$D$3:$D$62,$A37))</f>
        <v/>
      </c>
      <c r="E37" s="23">
        <f>IF($C37="","",IF(IFERROR(MATCH($D37,기본자료!$B$2:$B$301,0),IFERROR(MATCH($D37&amp;"",기본자료!$B$2:$B$301,0),IFERROR(MATCH(VALUE($D37),기본자료!$B$2:$B$301,0),0)))&gt;0,"확인","미등록"))</f>
        <v/>
      </c>
      <c r="F37" s="27">
        <f>IF($C37="","",INDEX(인턴근무계획!$S$3:$S$62,$A37))</f>
        <v/>
      </c>
      <c r="G37" s="23">
        <f>IF(OR($C37="",$G$3=""),"",IF(INDEX(인턴근무계획!$M$3:$R$62,$A37,$G$3)&amp;""="","",IF(LEFT(INDEX(인턴근무계획!$M$3:$R$62,$A37,$G$3)&amp;"",1)="⚠",INDEX(인턴근무계획!$M$3:$R$62,$A37,$G$3)&amp;"",LEFT(INDEX(인턴근무계획!$M$3:$R$62,$A37,$G$3)&amp;"",FIND(" ",INDEX(인턴근무계획!$M$3:$R$62,$A37,$G$3)&amp;"")-1))))</f>
        <v/>
      </c>
      <c r="H37" s="23">
        <f>IF(OR($C37="",$G$3=""),"",IF(INDEX(인턴근무계획!$M$3:$R$62,$A37,$G$3)&amp;""="","",IF(LEFT(INDEX(인턴근무계획!$M$3:$R$62,$A37,$G$3)&amp;"",1)="⚠","",MID(INDEX(인턴근무계획!$M$3:$R$62,$A37,$G$3)&amp;"",FIND(" ",INDEX(인턴근무계획!$M$3:$R$62,$A37,$G$3)&amp;"")+1,60))))</f>
        <v/>
      </c>
      <c r="I37" s="23">
        <f>IF(OR($C37="",$I$3=""),"",IF(INDEX(인턴근무계획!$M$3:$R$62,$A37,$I$3)&amp;""="","",IF(LEFT(INDEX(인턴근무계획!$M$3:$R$62,$A37,$I$3)&amp;"",1)="⚠",INDEX(인턴근무계획!$M$3:$R$62,$A37,$I$3)&amp;"",LEFT(INDEX(인턴근무계획!$M$3:$R$62,$A37,$I$3)&amp;"",FIND(" ",INDEX(인턴근무계획!$M$3:$R$62,$A37,$I$3)&amp;"")-1))))</f>
        <v/>
      </c>
      <c r="J37" s="23">
        <f>IF(OR($C37="",$I$3=""),"",IF(INDEX(인턴근무계획!$M$3:$R$62,$A37,$I$3)&amp;""="","",IF(LEFT(INDEX(인턴근무계획!$M$3:$R$62,$A37,$I$3)&amp;"",1)="⚠","",MID(INDEX(인턴근무계획!$M$3:$R$62,$A37,$I$3)&amp;"",FIND(" ",INDEX(인턴근무계획!$M$3:$R$62,$A37,$I$3)&amp;"")+1,60))))</f>
        <v/>
      </c>
      <c r="K37" s="23">
        <f>IF($C37="","",INDEX(인턴근무계획!$M$3:$M$62,$A37)&amp;"")</f>
        <v/>
      </c>
      <c r="L37" s="23">
        <f>IF($C37="","",INDEX(인턴근무계획!$N$3:$N$62,$A37)&amp;"")</f>
        <v/>
      </c>
      <c r="M37" s="23">
        <f>IF($C37="","",INDEX(인턴근무계획!$O$3:$O$62,$A37)&amp;"")</f>
        <v/>
      </c>
      <c r="N37" s="23">
        <f>IF($C37="","",INDEX(인턴근무계획!$P$3:$P$62,$A37)&amp;"")</f>
        <v/>
      </c>
      <c r="O37" s="23">
        <f>IF($C37="","",INDEX(인턴근무계획!$Q$3:$Q$62,$A37)&amp;"")</f>
        <v/>
      </c>
      <c r="P37" s="23">
        <f>IF($C37="","",INDEX(인턴근무계획!$R$3:$R$62,$A37)&amp;"")</f>
        <v/>
      </c>
      <c r="Q37" s="23">
        <f>IF($C37="","",INDEX(인턴근무계획!$T$3:$T$62,$A37))</f>
        <v/>
      </c>
    </row>
    <row r="38">
      <c r="A38" s="26" t="n">
        <v>33</v>
      </c>
      <c r="B38" s="23">
        <f>IF($C38="","",INDEX(인턴근무계획!$B$3:$B$62,$A38))</f>
        <v/>
      </c>
      <c r="C38" s="23">
        <f>IFERROR(TRIM(INDEX(인턴근무계획!$C$3:$C$62,$A38)&amp;""),"")</f>
        <v/>
      </c>
      <c r="D38" s="23">
        <f>IF($C38="","",INDEX(인턴근무계획!$D$3:$D$62,$A38))</f>
        <v/>
      </c>
      <c r="E38" s="23">
        <f>IF($C38="","",IF(IFERROR(MATCH($D38,기본자료!$B$2:$B$301,0),IFERROR(MATCH($D38&amp;"",기본자료!$B$2:$B$301,0),IFERROR(MATCH(VALUE($D38),기본자료!$B$2:$B$301,0),0)))&gt;0,"확인","미등록"))</f>
        <v/>
      </c>
      <c r="F38" s="27">
        <f>IF($C38="","",INDEX(인턴근무계획!$S$3:$S$62,$A38))</f>
        <v/>
      </c>
      <c r="G38" s="23">
        <f>IF(OR($C38="",$G$3=""),"",IF(INDEX(인턴근무계획!$M$3:$R$62,$A38,$G$3)&amp;""="","",IF(LEFT(INDEX(인턴근무계획!$M$3:$R$62,$A38,$G$3)&amp;"",1)="⚠",INDEX(인턴근무계획!$M$3:$R$62,$A38,$G$3)&amp;"",LEFT(INDEX(인턴근무계획!$M$3:$R$62,$A38,$G$3)&amp;"",FIND(" ",INDEX(인턴근무계획!$M$3:$R$62,$A38,$G$3)&amp;"")-1))))</f>
        <v/>
      </c>
      <c r="H38" s="23">
        <f>IF(OR($C38="",$G$3=""),"",IF(INDEX(인턴근무계획!$M$3:$R$62,$A38,$G$3)&amp;""="","",IF(LEFT(INDEX(인턴근무계획!$M$3:$R$62,$A38,$G$3)&amp;"",1)="⚠","",MID(INDEX(인턴근무계획!$M$3:$R$62,$A38,$G$3)&amp;"",FIND(" ",INDEX(인턴근무계획!$M$3:$R$62,$A38,$G$3)&amp;"")+1,60))))</f>
        <v/>
      </c>
      <c r="I38" s="23">
        <f>IF(OR($C38="",$I$3=""),"",IF(INDEX(인턴근무계획!$M$3:$R$62,$A38,$I$3)&amp;""="","",IF(LEFT(INDEX(인턴근무계획!$M$3:$R$62,$A38,$I$3)&amp;"",1)="⚠",INDEX(인턴근무계획!$M$3:$R$62,$A38,$I$3)&amp;"",LEFT(INDEX(인턴근무계획!$M$3:$R$62,$A38,$I$3)&amp;"",FIND(" ",INDEX(인턴근무계획!$M$3:$R$62,$A38,$I$3)&amp;"")-1))))</f>
        <v/>
      </c>
      <c r="J38" s="23">
        <f>IF(OR($C38="",$I$3=""),"",IF(INDEX(인턴근무계획!$M$3:$R$62,$A38,$I$3)&amp;""="","",IF(LEFT(INDEX(인턴근무계획!$M$3:$R$62,$A38,$I$3)&amp;"",1)="⚠","",MID(INDEX(인턴근무계획!$M$3:$R$62,$A38,$I$3)&amp;"",FIND(" ",INDEX(인턴근무계획!$M$3:$R$62,$A38,$I$3)&amp;"")+1,60))))</f>
        <v/>
      </c>
      <c r="K38" s="23">
        <f>IF($C38="","",INDEX(인턴근무계획!$M$3:$M$62,$A38)&amp;"")</f>
        <v/>
      </c>
      <c r="L38" s="23">
        <f>IF($C38="","",INDEX(인턴근무계획!$N$3:$N$62,$A38)&amp;"")</f>
        <v/>
      </c>
      <c r="M38" s="23">
        <f>IF($C38="","",INDEX(인턴근무계획!$O$3:$O$62,$A38)&amp;"")</f>
        <v/>
      </c>
      <c r="N38" s="23">
        <f>IF($C38="","",INDEX(인턴근무계획!$P$3:$P$62,$A38)&amp;"")</f>
        <v/>
      </c>
      <c r="O38" s="23">
        <f>IF($C38="","",INDEX(인턴근무계획!$Q$3:$Q$62,$A38)&amp;"")</f>
        <v/>
      </c>
      <c r="P38" s="23">
        <f>IF($C38="","",INDEX(인턴근무계획!$R$3:$R$62,$A38)&amp;"")</f>
        <v/>
      </c>
      <c r="Q38" s="23">
        <f>IF($C38="","",INDEX(인턴근무계획!$T$3:$T$62,$A38))</f>
        <v/>
      </c>
    </row>
    <row r="39">
      <c r="A39" s="26" t="n">
        <v>34</v>
      </c>
      <c r="B39" s="23">
        <f>IF($C39="","",INDEX(인턴근무계획!$B$3:$B$62,$A39))</f>
        <v/>
      </c>
      <c r="C39" s="23">
        <f>IFERROR(TRIM(INDEX(인턴근무계획!$C$3:$C$62,$A39)&amp;""),"")</f>
        <v/>
      </c>
      <c r="D39" s="23">
        <f>IF($C39="","",INDEX(인턴근무계획!$D$3:$D$62,$A39))</f>
        <v/>
      </c>
      <c r="E39" s="23">
        <f>IF($C39="","",IF(IFERROR(MATCH($D39,기본자료!$B$2:$B$301,0),IFERROR(MATCH($D39&amp;"",기본자료!$B$2:$B$301,0),IFERROR(MATCH(VALUE($D39),기본자료!$B$2:$B$301,0),0)))&gt;0,"확인","미등록"))</f>
        <v/>
      </c>
      <c r="F39" s="27">
        <f>IF($C39="","",INDEX(인턴근무계획!$S$3:$S$62,$A39))</f>
        <v/>
      </c>
      <c r="G39" s="23">
        <f>IF(OR($C39="",$G$3=""),"",IF(INDEX(인턴근무계획!$M$3:$R$62,$A39,$G$3)&amp;""="","",IF(LEFT(INDEX(인턴근무계획!$M$3:$R$62,$A39,$G$3)&amp;"",1)="⚠",INDEX(인턴근무계획!$M$3:$R$62,$A39,$G$3)&amp;"",LEFT(INDEX(인턴근무계획!$M$3:$R$62,$A39,$G$3)&amp;"",FIND(" ",INDEX(인턴근무계획!$M$3:$R$62,$A39,$G$3)&amp;"")-1))))</f>
        <v/>
      </c>
      <c r="H39" s="23">
        <f>IF(OR($C39="",$G$3=""),"",IF(INDEX(인턴근무계획!$M$3:$R$62,$A39,$G$3)&amp;""="","",IF(LEFT(INDEX(인턴근무계획!$M$3:$R$62,$A39,$G$3)&amp;"",1)="⚠","",MID(INDEX(인턴근무계획!$M$3:$R$62,$A39,$G$3)&amp;"",FIND(" ",INDEX(인턴근무계획!$M$3:$R$62,$A39,$G$3)&amp;"")+1,60))))</f>
        <v/>
      </c>
      <c r="I39" s="23">
        <f>IF(OR($C39="",$I$3=""),"",IF(INDEX(인턴근무계획!$M$3:$R$62,$A39,$I$3)&amp;""="","",IF(LEFT(INDEX(인턴근무계획!$M$3:$R$62,$A39,$I$3)&amp;"",1)="⚠",INDEX(인턴근무계획!$M$3:$R$62,$A39,$I$3)&amp;"",LEFT(INDEX(인턴근무계획!$M$3:$R$62,$A39,$I$3)&amp;"",FIND(" ",INDEX(인턴근무계획!$M$3:$R$62,$A39,$I$3)&amp;"")-1))))</f>
        <v/>
      </c>
      <c r="J39" s="23">
        <f>IF(OR($C39="",$I$3=""),"",IF(INDEX(인턴근무계획!$M$3:$R$62,$A39,$I$3)&amp;""="","",IF(LEFT(INDEX(인턴근무계획!$M$3:$R$62,$A39,$I$3)&amp;"",1)="⚠","",MID(INDEX(인턴근무계획!$M$3:$R$62,$A39,$I$3)&amp;"",FIND(" ",INDEX(인턴근무계획!$M$3:$R$62,$A39,$I$3)&amp;"")+1,60))))</f>
        <v/>
      </c>
      <c r="K39" s="23">
        <f>IF($C39="","",INDEX(인턴근무계획!$M$3:$M$62,$A39)&amp;"")</f>
        <v/>
      </c>
      <c r="L39" s="23">
        <f>IF($C39="","",INDEX(인턴근무계획!$N$3:$N$62,$A39)&amp;"")</f>
        <v/>
      </c>
      <c r="M39" s="23">
        <f>IF($C39="","",INDEX(인턴근무계획!$O$3:$O$62,$A39)&amp;"")</f>
        <v/>
      </c>
      <c r="N39" s="23">
        <f>IF($C39="","",INDEX(인턴근무계획!$P$3:$P$62,$A39)&amp;"")</f>
        <v/>
      </c>
      <c r="O39" s="23">
        <f>IF($C39="","",INDEX(인턴근무계획!$Q$3:$Q$62,$A39)&amp;"")</f>
        <v/>
      </c>
      <c r="P39" s="23">
        <f>IF($C39="","",INDEX(인턴근무계획!$R$3:$R$62,$A39)&amp;"")</f>
        <v/>
      </c>
      <c r="Q39" s="23">
        <f>IF($C39="","",INDEX(인턴근무계획!$T$3:$T$62,$A39))</f>
        <v/>
      </c>
    </row>
    <row r="40">
      <c r="A40" s="26" t="n">
        <v>35</v>
      </c>
      <c r="B40" s="23">
        <f>IF($C40="","",INDEX(인턴근무계획!$B$3:$B$62,$A40))</f>
        <v/>
      </c>
      <c r="C40" s="23">
        <f>IFERROR(TRIM(INDEX(인턴근무계획!$C$3:$C$62,$A40)&amp;""),"")</f>
        <v/>
      </c>
      <c r="D40" s="23">
        <f>IF($C40="","",INDEX(인턴근무계획!$D$3:$D$62,$A40))</f>
        <v/>
      </c>
      <c r="E40" s="23">
        <f>IF($C40="","",IF(IFERROR(MATCH($D40,기본자료!$B$2:$B$301,0),IFERROR(MATCH($D40&amp;"",기본자료!$B$2:$B$301,0),IFERROR(MATCH(VALUE($D40),기본자료!$B$2:$B$301,0),0)))&gt;0,"확인","미등록"))</f>
        <v/>
      </c>
      <c r="F40" s="27">
        <f>IF($C40="","",INDEX(인턴근무계획!$S$3:$S$62,$A40))</f>
        <v/>
      </c>
      <c r="G40" s="23">
        <f>IF(OR($C40="",$G$3=""),"",IF(INDEX(인턴근무계획!$M$3:$R$62,$A40,$G$3)&amp;""="","",IF(LEFT(INDEX(인턴근무계획!$M$3:$R$62,$A40,$G$3)&amp;"",1)="⚠",INDEX(인턴근무계획!$M$3:$R$62,$A40,$G$3)&amp;"",LEFT(INDEX(인턴근무계획!$M$3:$R$62,$A40,$G$3)&amp;"",FIND(" ",INDEX(인턴근무계획!$M$3:$R$62,$A40,$G$3)&amp;"")-1))))</f>
        <v/>
      </c>
      <c r="H40" s="23">
        <f>IF(OR($C40="",$G$3=""),"",IF(INDEX(인턴근무계획!$M$3:$R$62,$A40,$G$3)&amp;""="","",IF(LEFT(INDEX(인턴근무계획!$M$3:$R$62,$A40,$G$3)&amp;"",1)="⚠","",MID(INDEX(인턴근무계획!$M$3:$R$62,$A40,$G$3)&amp;"",FIND(" ",INDEX(인턴근무계획!$M$3:$R$62,$A40,$G$3)&amp;"")+1,60))))</f>
        <v/>
      </c>
      <c r="I40" s="23">
        <f>IF(OR($C40="",$I$3=""),"",IF(INDEX(인턴근무계획!$M$3:$R$62,$A40,$I$3)&amp;""="","",IF(LEFT(INDEX(인턴근무계획!$M$3:$R$62,$A40,$I$3)&amp;"",1)="⚠",INDEX(인턴근무계획!$M$3:$R$62,$A40,$I$3)&amp;"",LEFT(INDEX(인턴근무계획!$M$3:$R$62,$A40,$I$3)&amp;"",FIND(" ",INDEX(인턴근무계획!$M$3:$R$62,$A40,$I$3)&amp;"")-1))))</f>
        <v/>
      </c>
      <c r="J40" s="23">
        <f>IF(OR($C40="",$I$3=""),"",IF(INDEX(인턴근무계획!$M$3:$R$62,$A40,$I$3)&amp;""="","",IF(LEFT(INDEX(인턴근무계획!$M$3:$R$62,$A40,$I$3)&amp;"",1)="⚠","",MID(INDEX(인턴근무계획!$M$3:$R$62,$A40,$I$3)&amp;"",FIND(" ",INDEX(인턴근무계획!$M$3:$R$62,$A40,$I$3)&amp;"")+1,60))))</f>
        <v/>
      </c>
      <c r="K40" s="23">
        <f>IF($C40="","",INDEX(인턴근무계획!$M$3:$M$62,$A40)&amp;"")</f>
        <v/>
      </c>
      <c r="L40" s="23">
        <f>IF($C40="","",INDEX(인턴근무계획!$N$3:$N$62,$A40)&amp;"")</f>
        <v/>
      </c>
      <c r="M40" s="23">
        <f>IF($C40="","",INDEX(인턴근무계획!$O$3:$O$62,$A40)&amp;"")</f>
        <v/>
      </c>
      <c r="N40" s="23">
        <f>IF($C40="","",INDEX(인턴근무계획!$P$3:$P$62,$A40)&amp;"")</f>
        <v/>
      </c>
      <c r="O40" s="23">
        <f>IF($C40="","",INDEX(인턴근무계획!$Q$3:$Q$62,$A40)&amp;"")</f>
        <v/>
      </c>
      <c r="P40" s="23">
        <f>IF($C40="","",INDEX(인턴근무계획!$R$3:$R$62,$A40)&amp;"")</f>
        <v/>
      </c>
      <c r="Q40" s="23">
        <f>IF($C40="","",INDEX(인턴근무계획!$T$3:$T$62,$A40))</f>
        <v/>
      </c>
    </row>
    <row r="41">
      <c r="A41" s="26" t="n">
        <v>36</v>
      </c>
      <c r="B41" s="23">
        <f>IF($C41="","",INDEX(인턴근무계획!$B$3:$B$62,$A41))</f>
        <v/>
      </c>
      <c r="C41" s="23">
        <f>IFERROR(TRIM(INDEX(인턴근무계획!$C$3:$C$62,$A41)&amp;""),"")</f>
        <v/>
      </c>
      <c r="D41" s="23">
        <f>IF($C41="","",INDEX(인턴근무계획!$D$3:$D$62,$A41))</f>
        <v/>
      </c>
      <c r="E41" s="23">
        <f>IF($C41="","",IF(IFERROR(MATCH($D41,기본자료!$B$2:$B$301,0),IFERROR(MATCH($D41&amp;"",기본자료!$B$2:$B$301,0),IFERROR(MATCH(VALUE($D41),기본자료!$B$2:$B$301,0),0)))&gt;0,"확인","미등록"))</f>
        <v/>
      </c>
      <c r="F41" s="27">
        <f>IF($C41="","",INDEX(인턴근무계획!$S$3:$S$62,$A41))</f>
        <v/>
      </c>
      <c r="G41" s="23">
        <f>IF(OR($C41="",$G$3=""),"",IF(INDEX(인턴근무계획!$M$3:$R$62,$A41,$G$3)&amp;""="","",IF(LEFT(INDEX(인턴근무계획!$M$3:$R$62,$A41,$G$3)&amp;"",1)="⚠",INDEX(인턴근무계획!$M$3:$R$62,$A41,$G$3)&amp;"",LEFT(INDEX(인턴근무계획!$M$3:$R$62,$A41,$G$3)&amp;"",FIND(" ",INDEX(인턴근무계획!$M$3:$R$62,$A41,$G$3)&amp;"")-1))))</f>
        <v/>
      </c>
      <c r="H41" s="23">
        <f>IF(OR($C41="",$G$3=""),"",IF(INDEX(인턴근무계획!$M$3:$R$62,$A41,$G$3)&amp;""="","",IF(LEFT(INDEX(인턴근무계획!$M$3:$R$62,$A41,$G$3)&amp;"",1)="⚠","",MID(INDEX(인턴근무계획!$M$3:$R$62,$A41,$G$3)&amp;"",FIND(" ",INDEX(인턴근무계획!$M$3:$R$62,$A41,$G$3)&amp;"")+1,60))))</f>
        <v/>
      </c>
      <c r="I41" s="23">
        <f>IF(OR($C41="",$I$3=""),"",IF(INDEX(인턴근무계획!$M$3:$R$62,$A41,$I$3)&amp;""="","",IF(LEFT(INDEX(인턴근무계획!$M$3:$R$62,$A41,$I$3)&amp;"",1)="⚠",INDEX(인턴근무계획!$M$3:$R$62,$A41,$I$3)&amp;"",LEFT(INDEX(인턴근무계획!$M$3:$R$62,$A41,$I$3)&amp;"",FIND(" ",INDEX(인턴근무계획!$M$3:$R$62,$A41,$I$3)&amp;"")-1))))</f>
        <v/>
      </c>
      <c r="J41" s="23">
        <f>IF(OR($C41="",$I$3=""),"",IF(INDEX(인턴근무계획!$M$3:$R$62,$A41,$I$3)&amp;""="","",IF(LEFT(INDEX(인턴근무계획!$M$3:$R$62,$A41,$I$3)&amp;"",1)="⚠","",MID(INDEX(인턴근무계획!$M$3:$R$62,$A41,$I$3)&amp;"",FIND(" ",INDEX(인턴근무계획!$M$3:$R$62,$A41,$I$3)&amp;"")+1,60))))</f>
        <v/>
      </c>
      <c r="K41" s="23">
        <f>IF($C41="","",INDEX(인턴근무계획!$M$3:$M$62,$A41)&amp;"")</f>
        <v/>
      </c>
      <c r="L41" s="23">
        <f>IF($C41="","",INDEX(인턴근무계획!$N$3:$N$62,$A41)&amp;"")</f>
        <v/>
      </c>
      <c r="M41" s="23">
        <f>IF($C41="","",INDEX(인턴근무계획!$O$3:$O$62,$A41)&amp;"")</f>
        <v/>
      </c>
      <c r="N41" s="23">
        <f>IF($C41="","",INDEX(인턴근무계획!$P$3:$P$62,$A41)&amp;"")</f>
        <v/>
      </c>
      <c r="O41" s="23">
        <f>IF($C41="","",INDEX(인턴근무계획!$Q$3:$Q$62,$A41)&amp;"")</f>
        <v/>
      </c>
      <c r="P41" s="23">
        <f>IF($C41="","",INDEX(인턴근무계획!$R$3:$R$62,$A41)&amp;"")</f>
        <v/>
      </c>
      <c r="Q41" s="23">
        <f>IF($C41="","",INDEX(인턴근무계획!$T$3:$T$62,$A41))</f>
        <v/>
      </c>
    </row>
    <row r="42">
      <c r="A42" s="26" t="n">
        <v>37</v>
      </c>
      <c r="B42" s="23">
        <f>IF($C42="","",INDEX(인턴근무계획!$B$3:$B$62,$A42))</f>
        <v/>
      </c>
      <c r="C42" s="23">
        <f>IFERROR(TRIM(INDEX(인턴근무계획!$C$3:$C$62,$A42)&amp;""),"")</f>
        <v/>
      </c>
      <c r="D42" s="23">
        <f>IF($C42="","",INDEX(인턴근무계획!$D$3:$D$62,$A42))</f>
        <v/>
      </c>
      <c r="E42" s="23">
        <f>IF($C42="","",IF(IFERROR(MATCH($D42,기본자료!$B$2:$B$301,0),IFERROR(MATCH($D42&amp;"",기본자료!$B$2:$B$301,0),IFERROR(MATCH(VALUE($D42),기본자료!$B$2:$B$301,0),0)))&gt;0,"확인","미등록"))</f>
        <v/>
      </c>
      <c r="F42" s="27">
        <f>IF($C42="","",INDEX(인턴근무계획!$S$3:$S$62,$A42))</f>
        <v/>
      </c>
      <c r="G42" s="23">
        <f>IF(OR($C42="",$G$3=""),"",IF(INDEX(인턴근무계획!$M$3:$R$62,$A42,$G$3)&amp;""="","",IF(LEFT(INDEX(인턴근무계획!$M$3:$R$62,$A42,$G$3)&amp;"",1)="⚠",INDEX(인턴근무계획!$M$3:$R$62,$A42,$G$3)&amp;"",LEFT(INDEX(인턴근무계획!$M$3:$R$62,$A42,$G$3)&amp;"",FIND(" ",INDEX(인턴근무계획!$M$3:$R$62,$A42,$G$3)&amp;"")-1))))</f>
        <v/>
      </c>
      <c r="H42" s="23">
        <f>IF(OR($C42="",$G$3=""),"",IF(INDEX(인턴근무계획!$M$3:$R$62,$A42,$G$3)&amp;""="","",IF(LEFT(INDEX(인턴근무계획!$M$3:$R$62,$A42,$G$3)&amp;"",1)="⚠","",MID(INDEX(인턴근무계획!$M$3:$R$62,$A42,$G$3)&amp;"",FIND(" ",INDEX(인턴근무계획!$M$3:$R$62,$A42,$G$3)&amp;"")+1,60))))</f>
        <v/>
      </c>
      <c r="I42" s="23">
        <f>IF(OR($C42="",$I$3=""),"",IF(INDEX(인턴근무계획!$M$3:$R$62,$A42,$I$3)&amp;""="","",IF(LEFT(INDEX(인턴근무계획!$M$3:$R$62,$A42,$I$3)&amp;"",1)="⚠",INDEX(인턴근무계획!$M$3:$R$62,$A42,$I$3)&amp;"",LEFT(INDEX(인턴근무계획!$M$3:$R$62,$A42,$I$3)&amp;"",FIND(" ",INDEX(인턴근무계획!$M$3:$R$62,$A42,$I$3)&amp;"")-1))))</f>
        <v/>
      </c>
      <c r="J42" s="23">
        <f>IF(OR($C42="",$I$3=""),"",IF(INDEX(인턴근무계획!$M$3:$R$62,$A42,$I$3)&amp;""="","",IF(LEFT(INDEX(인턴근무계획!$M$3:$R$62,$A42,$I$3)&amp;"",1)="⚠","",MID(INDEX(인턴근무계획!$M$3:$R$62,$A42,$I$3)&amp;"",FIND(" ",INDEX(인턴근무계획!$M$3:$R$62,$A42,$I$3)&amp;"")+1,60))))</f>
        <v/>
      </c>
      <c r="K42" s="23">
        <f>IF($C42="","",INDEX(인턴근무계획!$M$3:$M$62,$A42)&amp;"")</f>
        <v/>
      </c>
      <c r="L42" s="23">
        <f>IF($C42="","",INDEX(인턴근무계획!$N$3:$N$62,$A42)&amp;"")</f>
        <v/>
      </c>
      <c r="M42" s="23">
        <f>IF($C42="","",INDEX(인턴근무계획!$O$3:$O$62,$A42)&amp;"")</f>
        <v/>
      </c>
      <c r="N42" s="23">
        <f>IF($C42="","",INDEX(인턴근무계획!$P$3:$P$62,$A42)&amp;"")</f>
        <v/>
      </c>
      <c r="O42" s="23">
        <f>IF($C42="","",INDEX(인턴근무계획!$Q$3:$Q$62,$A42)&amp;"")</f>
        <v/>
      </c>
      <c r="P42" s="23">
        <f>IF($C42="","",INDEX(인턴근무계획!$R$3:$R$62,$A42)&amp;"")</f>
        <v/>
      </c>
      <c r="Q42" s="23">
        <f>IF($C42="","",INDEX(인턴근무계획!$T$3:$T$62,$A42))</f>
        <v/>
      </c>
    </row>
    <row r="43">
      <c r="A43" s="26" t="n">
        <v>38</v>
      </c>
      <c r="B43" s="23">
        <f>IF($C43="","",INDEX(인턴근무계획!$B$3:$B$62,$A43))</f>
        <v/>
      </c>
      <c r="C43" s="23">
        <f>IFERROR(TRIM(INDEX(인턴근무계획!$C$3:$C$62,$A43)&amp;""),"")</f>
        <v/>
      </c>
      <c r="D43" s="23">
        <f>IF($C43="","",INDEX(인턴근무계획!$D$3:$D$62,$A43))</f>
        <v/>
      </c>
      <c r="E43" s="23">
        <f>IF($C43="","",IF(IFERROR(MATCH($D43,기본자료!$B$2:$B$301,0),IFERROR(MATCH($D43&amp;"",기본자료!$B$2:$B$301,0),IFERROR(MATCH(VALUE($D43),기본자료!$B$2:$B$301,0),0)))&gt;0,"확인","미등록"))</f>
        <v/>
      </c>
      <c r="F43" s="27">
        <f>IF($C43="","",INDEX(인턴근무계획!$S$3:$S$62,$A43))</f>
        <v/>
      </c>
      <c r="G43" s="23">
        <f>IF(OR($C43="",$G$3=""),"",IF(INDEX(인턴근무계획!$M$3:$R$62,$A43,$G$3)&amp;""="","",IF(LEFT(INDEX(인턴근무계획!$M$3:$R$62,$A43,$G$3)&amp;"",1)="⚠",INDEX(인턴근무계획!$M$3:$R$62,$A43,$G$3)&amp;"",LEFT(INDEX(인턴근무계획!$M$3:$R$62,$A43,$G$3)&amp;"",FIND(" ",INDEX(인턴근무계획!$M$3:$R$62,$A43,$G$3)&amp;"")-1))))</f>
        <v/>
      </c>
      <c r="H43" s="23">
        <f>IF(OR($C43="",$G$3=""),"",IF(INDEX(인턴근무계획!$M$3:$R$62,$A43,$G$3)&amp;""="","",IF(LEFT(INDEX(인턴근무계획!$M$3:$R$62,$A43,$G$3)&amp;"",1)="⚠","",MID(INDEX(인턴근무계획!$M$3:$R$62,$A43,$G$3)&amp;"",FIND(" ",INDEX(인턴근무계획!$M$3:$R$62,$A43,$G$3)&amp;"")+1,60))))</f>
        <v/>
      </c>
      <c r="I43" s="23">
        <f>IF(OR($C43="",$I$3=""),"",IF(INDEX(인턴근무계획!$M$3:$R$62,$A43,$I$3)&amp;""="","",IF(LEFT(INDEX(인턴근무계획!$M$3:$R$62,$A43,$I$3)&amp;"",1)="⚠",INDEX(인턴근무계획!$M$3:$R$62,$A43,$I$3)&amp;"",LEFT(INDEX(인턴근무계획!$M$3:$R$62,$A43,$I$3)&amp;"",FIND(" ",INDEX(인턴근무계획!$M$3:$R$62,$A43,$I$3)&amp;"")-1))))</f>
        <v/>
      </c>
      <c r="J43" s="23">
        <f>IF(OR($C43="",$I$3=""),"",IF(INDEX(인턴근무계획!$M$3:$R$62,$A43,$I$3)&amp;""="","",IF(LEFT(INDEX(인턴근무계획!$M$3:$R$62,$A43,$I$3)&amp;"",1)="⚠","",MID(INDEX(인턴근무계획!$M$3:$R$62,$A43,$I$3)&amp;"",FIND(" ",INDEX(인턴근무계획!$M$3:$R$62,$A43,$I$3)&amp;"")+1,60))))</f>
        <v/>
      </c>
      <c r="K43" s="23">
        <f>IF($C43="","",INDEX(인턴근무계획!$M$3:$M$62,$A43)&amp;"")</f>
        <v/>
      </c>
      <c r="L43" s="23">
        <f>IF($C43="","",INDEX(인턴근무계획!$N$3:$N$62,$A43)&amp;"")</f>
        <v/>
      </c>
      <c r="M43" s="23">
        <f>IF($C43="","",INDEX(인턴근무계획!$O$3:$O$62,$A43)&amp;"")</f>
        <v/>
      </c>
      <c r="N43" s="23">
        <f>IF($C43="","",INDEX(인턴근무계획!$P$3:$P$62,$A43)&amp;"")</f>
        <v/>
      </c>
      <c r="O43" s="23">
        <f>IF($C43="","",INDEX(인턴근무계획!$Q$3:$Q$62,$A43)&amp;"")</f>
        <v/>
      </c>
      <c r="P43" s="23">
        <f>IF($C43="","",INDEX(인턴근무계획!$R$3:$R$62,$A43)&amp;"")</f>
        <v/>
      </c>
      <c r="Q43" s="23">
        <f>IF($C43="","",INDEX(인턴근무계획!$T$3:$T$62,$A43))</f>
        <v/>
      </c>
    </row>
    <row r="44">
      <c r="A44" s="26" t="n">
        <v>39</v>
      </c>
      <c r="B44" s="23">
        <f>IF($C44="","",INDEX(인턴근무계획!$B$3:$B$62,$A44))</f>
        <v/>
      </c>
      <c r="C44" s="23">
        <f>IFERROR(TRIM(INDEX(인턴근무계획!$C$3:$C$62,$A44)&amp;""),"")</f>
        <v/>
      </c>
      <c r="D44" s="23">
        <f>IF($C44="","",INDEX(인턴근무계획!$D$3:$D$62,$A44))</f>
        <v/>
      </c>
      <c r="E44" s="23">
        <f>IF($C44="","",IF(IFERROR(MATCH($D44,기본자료!$B$2:$B$301,0),IFERROR(MATCH($D44&amp;"",기본자료!$B$2:$B$301,0),IFERROR(MATCH(VALUE($D44),기본자료!$B$2:$B$301,0),0)))&gt;0,"확인","미등록"))</f>
        <v/>
      </c>
      <c r="F44" s="27">
        <f>IF($C44="","",INDEX(인턴근무계획!$S$3:$S$62,$A44))</f>
        <v/>
      </c>
      <c r="G44" s="23">
        <f>IF(OR($C44="",$G$3=""),"",IF(INDEX(인턴근무계획!$M$3:$R$62,$A44,$G$3)&amp;""="","",IF(LEFT(INDEX(인턴근무계획!$M$3:$R$62,$A44,$G$3)&amp;"",1)="⚠",INDEX(인턴근무계획!$M$3:$R$62,$A44,$G$3)&amp;"",LEFT(INDEX(인턴근무계획!$M$3:$R$62,$A44,$G$3)&amp;"",FIND(" ",INDEX(인턴근무계획!$M$3:$R$62,$A44,$G$3)&amp;"")-1))))</f>
        <v/>
      </c>
      <c r="H44" s="23">
        <f>IF(OR($C44="",$G$3=""),"",IF(INDEX(인턴근무계획!$M$3:$R$62,$A44,$G$3)&amp;""="","",IF(LEFT(INDEX(인턴근무계획!$M$3:$R$62,$A44,$G$3)&amp;"",1)="⚠","",MID(INDEX(인턴근무계획!$M$3:$R$62,$A44,$G$3)&amp;"",FIND(" ",INDEX(인턴근무계획!$M$3:$R$62,$A44,$G$3)&amp;"")+1,60))))</f>
        <v/>
      </c>
      <c r="I44" s="23">
        <f>IF(OR($C44="",$I$3=""),"",IF(INDEX(인턴근무계획!$M$3:$R$62,$A44,$I$3)&amp;""="","",IF(LEFT(INDEX(인턴근무계획!$M$3:$R$62,$A44,$I$3)&amp;"",1)="⚠",INDEX(인턴근무계획!$M$3:$R$62,$A44,$I$3)&amp;"",LEFT(INDEX(인턴근무계획!$M$3:$R$62,$A44,$I$3)&amp;"",FIND(" ",INDEX(인턴근무계획!$M$3:$R$62,$A44,$I$3)&amp;"")-1))))</f>
        <v/>
      </c>
      <c r="J44" s="23">
        <f>IF(OR($C44="",$I$3=""),"",IF(INDEX(인턴근무계획!$M$3:$R$62,$A44,$I$3)&amp;""="","",IF(LEFT(INDEX(인턴근무계획!$M$3:$R$62,$A44,$I$3)&amp;"",1)="⚠","",MID(INDEX(인턴근무계획!$M$3:$R$62,$A44,$I$3)&amp;"",FIND(" ",INDEX(인턴근무계획!$M$3:$R$62,$A44,$I$3)&amp;"")+1,60))))</f>
        <v/>
      </c>
      <c r="K44" s="23">
        <f>IF($C44="","",INDEX(인턴근무계획!$M$3:$M$62,$A44)&amp;"")</f>
        <v/>
      </c>
      <c r="L44" s="23">
        <f>IF($C44="","",INDEX(인턴근무계획!$N$3:$N$62,$A44)&amp;"")</f>
        <v/>
      </c>
      <c r="M44" s="23">
        <f>IF($C44="","",INDEX(인턴근무계획!$O$3:$O$62,$A44)&amp;"")</f>
        <v/>
      </c>
      <c r="N44" s="23">
        <f>IF($C44="","",INDEX(인턴근무계획!$P$3:$P$62,$A44)&amp;"")</f>
        <v/>
      </c>
      <c r="O44" s="23">
        <f>IF($C44="","",INDEX(인턴근무계획!$Q$3:$Q$62,$A44)&amp;"")</f>
        <v/>
      </c>
      <c r="P44" s="23">
        <f>IF($C44="","",INDEX(인턴근무계획!$R$3:$R$62,$A44)&amp;"")</f>
        <v/>
      </c>
      <c r="Q44" s="23">
        <f>IF($C44="","",INDEX(인턴근무계획!$T$3:$T$62,$A44))</f>
        <v/>
      </c>
    </row>
    <row r="45">
      <c r="A45" s="26" t="n">
        <v>40</v>
      </c>
      <c r="B45" s="23">
        <f>IF($C45="","",INDEX(인턴근무계획!$B$3:$B$62,$A45))</f>
        <v/>
      </c>
      <c r="C45" s="23">
        <f>IFERROR(TRIM(INDEX(인턴근무계획!$C$3:$C$62,$A45)&amp;""),"")</f>
        <v/>
      </c>
      <c r="D45" s="23">
        <f>IF($C45="","",INDEX(인턴근무계획!$D$3:$D$62,$A45))</f>
        <v/>
      </c>
      <c r="E45" s="23">
        <f>IF($C45="","",IF(IFERROR(MATCH($D45,기본자료!$B$2:$B$301,0),IFERROR(MATCH($D45&amp;"",기본자료!$B$2:$B$301,0),IFERROR(MATCH(VALUE($D45),기본자료!$B$2:$B$301,0),0)))&gt;0,"확인","미등록"))</f>
        <v/>
      </c>
      <c r="F45" s="27">
        <f>IF($C45="","",INDEX(인턴근무계획!$S$3:$S$62,$A45))</f>
        <v/>
      </c>
      <c r="G45" s="23">
        <f>IF(OR($C45="",$G$3=""),"",IF(INDEX(인턴근무계획!$M$3:$R$62,$A45,$G$3)&amp;""="","",IF(LEFT(INDEX(인턴근무계획!$M$3:$R$62,$A45,$G$3)&amp;"",1)="⚠",INDEX(인턴근무계획!$M$3:$R$62,$A45,$G$3)&amp;"",LEFT(INDEX(인턴근무계획!$M$3:$R$62,$A45,$G$3)&amp;"",FIND(" ",INDEX(인턴근무계획!$M$3:$R$62,$A45,$G$3)&amp;"")-1))))</f>
        <v/>
      </c>
      <c r="H45" s="23">
        <f>IF(OR($C45="",$G$3=""),"",IF(INDEX(인턴근무계획!$M$3:$R$62,$A45,$G$3)&amp;""="","",IF(LEFT(INDEX(인턴근무계획!$M$3:$R$62,$A45,$G$3)&amp;"",1)="⚠","",MID(INDEX(인턴근무계획!$M$3:$R$62,$A45,$G$3)&amp;"",FIND(" ",INDEX(인턴근무계획!$M$3:$R$62,$A45,$G$3)&amp;"")+1,60))))</f>
        <v/>
      </c>
      <c r="I45" s="23">
        <f>IF(OR($C45="",$I$3=""),"",IF(INDEX(인턴근무계획!$M$3:$R$62,$A45,$I$3)&amp;""="","",IF(LEFT(INDEX(인턴근무계획!$M$3:$R$62,$A45,$I$3)&amp;"",1)="⚠",INDEX(인턴근무계획!$M$3:$R$62,$A45,$I$3)&amp;"",LEFT(INDEX(인턴근무계획!$M$3:$R$62,$A45,$I$3)&amp;"",FIND(" ",INDEX(인턴근무계획!$M$3:$R$62,$A45,$I$3)&amp;"")-1))))</f>
        <v/>
      </c>
      <c r="J45" s="23">
        <f>IF(OR($C45="",$I$3=""),"",IF(INDEX(인턴근무계획!$M$3:$R$62,$A45,$I$3)&amp;""="","",IF(LEFT(INDEX(인턴근무계획!$M$3:$R$62,$A45,$I$3)&amp;"",1)="⚠","",MID(INDEX(인턴근무계획!$M$3:$R$62,$A45,$I$3)&amp;"",FIND(" ",INDEX(인턴근무계획!$M$3:$R$62,$A45,$I$3)&amp;"")+1,60))))</f>
        <v/>
      </c>
      <c r="K45" s="23">
        <f>IF($C45="","",INDEX(인턴근무계획!$M$3:$M$62,$A45)&amp;"")</f>
        <v/>
      </c>
      <c r="L45" s="23">
        <f>IF($C45="","",INDEX(인턴근무계획!$N$3:$N$62,$A45)&amp;"")</f>
        <v/>
      </c>
      <c r="M45" s="23">
        <f>IF($C45="","",INDEX(인턴근무계획!$O$3:$O$62,$A45)&amp;"")</f>
        <v/>
      </c>
      <c r="N45" s="23">
        <f>IF($C45="","",INDEX(인턴근무계획!$P$3:$P$62,$A45)&amp;"")</f>
        <v/>
      </c>
      <c r="O45" s="23">
        <f>IF($C45="","",INDEX(인턴근무계획!$Q$3:$Q$62,$A45)&amp;"")</f>
        <v/>
      </c>
      <c r="P45" s="23">
        <f>IF($C45="","",INDEX(인턴근무계획!$R$3:$R$62,$A45)&amp;"")</f>
        <v/>
      </c>
      <c r="Q45" s="23">
        <f>IF($C45="","",INDEX(인턴근무계획!$T$3:$T$62,$A45))</f>
        <v/>
      </c>
    </row>
    <row r="46">
      <c r="A46" s="26" t="n">
        <v>41</v>
      </c>
      <c r="B46" s="23">
        <f>IF($C46="","",INDEX(인턴근무계획!$B$3:$B$62,$A46))</f>
        <v/>
      </c>
      <c r="C46" s="23">
        <f>IFERROR(TRIM(INDEX(인턴근무계획!$C$3:$C$62,$A46)&amp;""),"")</f>
        <v/>
      </c>
      <c r="D46" s="23">
        <f>IF($C46="","",INDEX(인턴근무계획!$D$3:$D$62,$A46))</f>
        <v/>
      </c>
      <c r="E46" s="23">
        <f>IF($C46="","",IF(IFERROR(MATCH($D46,기본자료!$B$2:$B$301,0),IFERROR(MATCH($D46&amp;"",기본자료!$B$2:$B$301,0),IFERROR(MATCH(VALUE($D46),기본자료!$B$2:$B$301,0),0)))&gt;0,"확인","미등록"))</f>
        <v/>
      </c>
      <c r="F46" s="27">
        <f>IF($C46="","",INDEX(인턴근무계획!$S$3:$S$62,$A46))</f>
        <v/>
      </c>
      <c r="G46" s="23">
        <f>IF(OR($C46="",$G$3=""),"",IF(INDEX(인턴근무계획!$M$3:$R$62,$A46,$G$3)&amp;""="","",IF(LEFT(INDEX(인턴근무계획!$M$3:$R$62,$A46,$G$3)&amp;"",1)="⚠",INDEX(인턴근무계획!$M$3:$R$62,$A46,$G$3)&amp;"",LEFT(INDEX(인턴근무계획!$M$3:$R$62,$A46,$G$3)&amp;"",FIND(" ",INDEX(인턴근무계획!$M$3:$R$62,$A46,$G$3)&amp;"")-1))))</f>
        <v/>
      </c>
      <c r="H46" s="23">
        <f>IF(OR($C46="",$G$3=""),"",IF(INDEX(인턴근무계획!$M$3:$R$62,$A46,$G$3)&amp;""="","",IF(LEFT(INDEX(인턴근무계획!$M$3:$R$62,$A46,$G$3)&amp;"",1)="⚠","",MID(INDEX(인턴근무계획!$M$3:$R$62,$A46,$G$3)&amp;"",FIND(" ",INDEX(인턴근무계획!$M$3:$R$62,$A46,$G$3)&amp;"")+1,60))))</f>
        <v/>
      </c>
      <c r="I46" s="23">
        <f>IF(OR($C46="",$I$3=""),"",IF(INDEX(인턴근무계획!$M$3:$R$62,$A46,$I$3)&amp;""="","",IF(LEFT(INDEX(인턴근무계획!$M$3:$R$62,$A46,$I$3)&amp;"",1)="⚠",INDEX(인턴근무계획!$M$3:$R$62,$A46,$I$3)&amp;"",LEFT(INDEX(인턴근무계획!$M$3:$R$62,$A46,$I$3)&amp;"",FIND(" ",INDEX(인턴근무계획!$M$3:$R$62,$A46,$I$3)&amp;"")-1))))</f>
        <v/>
      </c>
      <c r="J46" s="23">
        <f>IF(OR($C46="",$I$3=""),"",IF(INDEX(인턴근무계획!$M$3:$R$62,$A46,$I$3)&amp;""="","",IF(LEFT(INDEX(인턴근무계획!$M$3:$R$62,$A46,$I$3)&amp;"",1)="⚠","",MID(INDEX(인턴근무계획!$M$3:$R$62,$A46,$I$3)&amp;"",FIND(" ",INDEX(인턴근무계획!$M$3:$R$62,$A46,$I$3)&amp;"")+1,60))))</f>
        <v/>
      </c>
      <c r="K46" s="23">
        <f>IF($C46="","",INDEX(인턴근무계획!$M$3:$M$62,$A46)&amp;"")</f>
        <v/>
      </c>
      <c r="L46" s="23">
        <f>IF($C46="","",INDEX(인턴근무계획!$N$3:$N$62,$A46)&amp;"")</f>
        <v/>
      </c>
      <c r="M46" s="23">
        <f>IF($C46="","",INDEX(인턴근무계획!$O$3:$O$62,$A46)&amp;"")</f>
        <v/>
      </c>
      <c r="N46" s="23">
        <f>IF($C46="","",INDEX(인턴근무계획!$P$3:$P$62,$A46)&amp;"")</f>
        <v/>
      </c>
      <c r="O46" s="23">
        <f>IF($C46="","",INDEX(인턴근무계획!$Q$3:$Q$62,$A46)&amp;"")</f>
        <v/>
      </c>
      <c r="P46" s="23">
        <f>IF($C46="","",INDEX(인턴근무계획!$R$3:$R$62,$A46)&amp;"")</f>
        <v/>
      </c>
      <c r="Q46" s="23">
        <f>IF($C46="","",INDEX(인턴근무계획!$T$3:$T$62,$A46))</f>
        <v/>
      </c>
    </row>
    <row r="47">
      <c r="A47" s="26" t="n">
        <v>42</v>
      </c>
      <c r="B47" s="23">
        <f>IF($C47="","",INDEX(인턴근무계획!$B$3:$B$62,$A47))</f>
        <v/>
      </c>
      <c r="C47" s="23">
        <f>IFERROR(TRIM(INDEX(인턴근무계획!$C$3:$C$62,$A47)&amp;""),"")</f>
        <v/>
      </c>
      <c r="D47" s="23">
        <f>IF($C47="","",INDEX(인턴근무계획!$D$3:$D$62,$A47))</f>
        <v/>
      </c>
      <c r="E47" s="23">
        <f>IF($C47="","",IF(IFERROR(MATCH($D47,기본자료!$B$2:$B$301,0),IFERROR(MATCH($D47&amp;"",기본자료!$B$2:$B$301,0),IFERROR(MATCH(VALUE($D47),기본자료!$B$2:$B$301,0),0)))&gt;0,"확인","미등록"))</f>
        <v/>
      </c>
      <c r="F47" s="27">
        <f>IF($C47="","",INDEX(인턴근무계획!$S$3:$S$62,$A47))</f>
        <v/>
      </c>
      <c r="G47" s="23">
        <f>IF(OR($C47="",$G$3=""),"",IF(INDEX(인턴근무계획!$M$3:$R$62,$A47,$G$3)&amp;""="","",IF(LEFT(INDEX(인턴근무계획!$M$3:$R$62,$A47,$G$3)&amp;"",1)="⚠",INDEX(인턴근무계획!$M$3:$R$62,$A47,$G$3)&amp;"",LEFT(INDEX(인턴근무계획!$M$3:$R$62,$A47,$G$3)&amp;"",FIND(" ",INDEX(인턴근무계획!$M$3:$R$62,$A47,$G$3)&amp;"")-1))))</f>
        <v/>
      </c>
      <c r="H47" s="23">
        <f>IF(OR($C47="",$G$3=""),"",IF(INDEX(인턴근무계획!$M$3:$R$62,$A47,$G$3)&amp;""="","",IF(LEFT(INDEX(인턴근무계획!$M$3:$R$62,$A47,$G$3)&amp;"",1)="⚠","",MID(INDEX(인턴근무계획!$M$3:$R$62,$A47,$G$3)&amp;"",FIND(" ",INDEX(인턴근무계획!$M$3:$R$62,$A47,$G$3)&amp;"")+1,60))))</f>
        <v/>
      </c>
      <c r="I47" s="23">
        <f>IF(OR($C47="",$I$3=""),"",IF(INDEX(인턴근무계획!$M$3:$R$62,$A47,$I$3)&amp;""="","",IF(LEFT(INDEX(인턴근무계획!$M$3:$R$62,$A47,$I$3)&amp;"",1)="⚠",INDEX(인턴근무계획!$M$3:$R$62,$A47,$I$3)&amp;"",LEFT(INDEX(인턴근무계획!$M$3:$R$62,$A47,$I$3)&amp;"",FIND(" ",INDEX(인턴근무계획!$M$3:$R$62,$A47,$I$3)&amp;"")-1))))</f>
        <v/>
      </c>
      <c r="J47" s="23">
        <f>IF(OR($C47="",$I$3=""),"",IF(INDEX(인턴근무계획!$M$3:$R$62,$A47,$I$3)&amp;""="","",IF(LEFT(INDEX(인턴근무계획!$M$3:$R$62,$A47,$I$3)&amp;"",1)="⚠","",MID(INDEX(인턴근무계획!$M$3:$R$62,$A47,$I$3)&amp;"",FIND(" ",INDEX(인턴근무계획!$M$3:$R$62,$A47,$I$3)&amp;"")+1,60))))</f>
        <v/>
      </c>
      <c r="K47" s="23">
        <f>IF($C47="","",INDEX(인턴근무계획!$M$3:$M$62,$A47)&amp;"")</f>
        <v/>
      </c>
      <c r="L47" s="23">
        <f>IF($C47="","",INDEX(인턴근무계획!$N$3:$N$62,$A47)&amp;"")</f>
        <v/>
      </c>
      <c r="M47" s="23">
        <f>IF($C47="","",INDEX(인턴근무계획!$O$3:$O$62,$A47)&amp;"")</f>
        <v/>
      </c>
      <c r="N47" s="23">
        <f>IF($C47="","",INDEX(인턴근무계획!$P$3:$P$62,$A47)&amp;"")</f>
        <v/>
      </c>
      <c r="O47" s="23">
        <f>IF($C47="","",INDEX(인턴근무계획!$Q$3:$Q$62,$A47)&amp;"")</f>
        <v/>
      </c>
      <c r="P47" s="23">
        <f>IF($C47="","",INDEX(인턴근무계획!$R$3:$R$62,$A47)&amp;"")</f>
        <v/>
      </c>
      <c r="Q47" s="23">
        <f>IF($C47="","",INDEX(인턴근무계획!$T$3:$T$62,$A47))</f>
        <v/>
      </c>
    </row>
    <row r="48">
      <c r="A48" s="26" t="n">
        <v>43</v>
      </c>
      <c r="B48" s="23">
        <f>IF($C48="","",INDEX(인턴근무계획!$B$3:$B$62,$A48))</f>
        <v/>
      </c>
      <c r="C48" s="23">
        <f>IFERROR(TRIM(INDEX(인턴근무계획!$C$3:$C$62,$A48)&amp;""),"")</f>
        <v/>
      </c>
      <c r="D48" s="23">
        <f>IF($C48="","",INDEX(인턴근무계획!$D$3:$D$62,$A48))</f>
        <v/>
      </c>
      <c r="E48" s="23">
        <f>IF($C48="","",IF(IFERROR(MATCH($D48,기본자료!$B$2:$B$301,0),IFERROR(MATCH($D48&amp;"",기본자료!$B$2:$B$301,0),IFERROR(MATCH(VALUE($D48),기본자료!$B$2:$B$301,0),0)))&gt;0,"확인","미등록"))</f>
        <v/>
      </c>
      <c r="F48" s="27">
        <f>IF($C48="","",INDEX(인턴근무계획!$S$3:$S$62,$A48))</f>
        <v/>
      </c>
      <c r="G48" s="23">
        <f>IF(OR($C48="",$G$3=""),"",IF(INDEX(인턴근무계획!$M$3:$R$62,$A48,$G$3)&amp;""="","",IF(LEFT(INDEX(인턴근무계획!$M$3:$R$62,$A48,$G$3)&amp;"",1)="⚠",INDEX(인턴근무계획!$M$3:$R$62,$A48,$G$3)&amp;"",LEFT(INDEX(인턴근무계획!$M$3:$R$62,$A48,$G$3)&amp;"",FIND(" ",INDEX(인턴근무계획!$M$3:$R$62,$A48,$G$3)&amp;"")-1))))</f>
        <v/>
      </c>
      <c r="H48" s="23">
        <f>IF(OR($C48="",$G$3=""),"",IF(INDEX(인턴근무계획!$M$3:$R$62,$A48,$G$3)&amp;""="","",IF(LEFT(INDEX(인턴근무계획!$M$3:$R$62,$A48,$G$3)&amp;"",1)="⚠","",MID(INDEX(인턴근무계획!$M$3:$R$62,$A48,$G$3)&amp;"",FIND(" ",INDEX(인턴근무계획!$M$3:$R$62,$A48,$G$3)&amp;"")+1,60))))</f>
        <v/>
      </c>
      <c r="I48" s="23">
        <f>IF(OR($C48="",$I$3=""),"",IF(INDEX(인턴근무계획!$M$3:$R$62,$A48,$I$3)&amp;""="","",IF(LEFT(INDEX(인턴근무계획!$M$3:$R$62,$A48,$I$3)&amp;"",1)="⚠",INDEX(인턴근무계획!$M$3:$R$62,$A48,$I$3)&amp;"",LEFT(INDEX(인턴근무계획!$M$3:$R$62,$A48,$I$3)&amp;"",FIND(" ",INDEX(인턴근무계획!$M$3:$R$62,$A48,$I$3)&amp;"")-1))))</f>
        <v/>
      </c>
      <c r="J48" s="23">
        <f>IF(OR($C48="",$I$3=""),"",IF(INDEX(인턴근무계획!$M$3:$R$62,$A48,$I$3)&amp;""="","",IF(LEFT(INDEX(인턴근무계획!$M$3:$R$62,$A48,$I$3)&amp;"",1)="⚠","",MID(INDEX(인턴근무계획!$M$3:$R$62,$A48,$I$3)&amp;"",FIND(" ",INDEX(인턴근무계획!$M$3:$R$62,$A48,$I$3)&amp;"")+1,60))))</f>
        <v/>
      </c>
      <c r="K48" s="23">
        <f>IF($C48="","",INDEX(인턴근무계획!$M$3:$M$62,$A48)&amp;"")</f>
        <v/>
      </c>
      <c r="L48" s="23">
        <f>IF($C48="","",INDEX(인턴근무계획!$N$3:$N$62,$A48)&amp;"")</f>
        <v/>
      </c>
      <c r="M48" s="23">
        <f>IF($C48="","",INDEX(인턴근무계획!$O$3:$O$62,$A48)&amp;"")</f>
        <v/>
      </c>
      <c r="N48" s="23">
        <f>IF($C48="","",INDEX(인턴근무계획!$P$3:$P$62,$A48)&amp;"")</f>
        <v/>
      </c>
      <c r="O48" s="23">
        <f>IF($C48="","",INDEX(인턴근무계획!$Q$3:$Q$62,$A48)&amp;"")</f>
        <v/>
      </c>
      <c r="P48" s="23">
        <f>IF($C48="","",INDEX(인턴근무계획!$R$3:$R$62,$A48)&amp;"")</f>
        <v/>
      </c>
      <c r="Q48" s="23">
        <f>IF($C48="","",INDEX(인턴근무계획!$T$3:$T$62,$A48))</f>
        <v/>
      </c>
    </row>
    <row r="49">
      <c r="A49" s="26" t="n">
        <v>44</v>
      </c>
      <c r="B49" s="23">
        <f>IF($C49="","",INDEX(인턴근무계획!$B$3:$B$62,$A49))</f>
        <v/>
      </c>
      <c r="C49" s="23">
        <f>IFERROR(TRIM(INDEX(인턴근무계획!$C$3:$C$62,$A49)&amp;""),"")</f>
        <v/>
      </c>
      <c r="D49" s="23">
        <f>IF($C49="","",INDEX(인턴근무계획!$D$3:$D$62,$A49))</f>
        <v/>
      </c>
      <c r="E49" s="23">
        <f>IF($C49="","",IF(IFERROR(MATCH($D49,기본자료!$B$2:$B$301,0),IFERROR(MATCH($D49&amp;"",기본자료!$B$2:$B$301,0),IFERROR(MATCH(VALUE($D49),기본자료!$B$2:$B$301,0),0)))&gt;0,"확인","미등록"))</f>
        <v/>
      </c>
      <c r="F49" s="27">
        <f>IF($C49="","",INDEX(인턴근무계획!$S$3:$S$62,$A49))</f>
        <v/>
      </c>
      <c r="G49" s="23">
        <f>IF(OR($C49="",$G$3=""),"",IF(INDEX(인턴근무계획!$M$3:$R$62,$A49,$G$3)&amp;""="","",IF(LEFT(INDEX(인턴근무계획!$M$3:$R$62,$A49,$G$3)&amp;"",1)="⚠",INDEX(인턴근무계획!$M$3:$R$62,$A49,$G$3)&amp;"",LEFT(INDEX(인턴근무계획!$M$3:$R$62,$A49,$G$3)&amp;"",FIND(" ",INDEX(인턴근무계획!$M$3:$R$62,$A49,$G$3)&amp;"")-1))))</f>
        <v/>
      </c>
      <c r="H49" s="23">
        <f>IF(OR($C49="",$G$3=""),"",IF(INDEX(인턴근무계획!$M$3:$R$62,$A49,$G$3)&amp;""="","",IF(LEFT(INDEX(인턴근무계획!$M$3:$R$62,$A49,$G$3)&amp;"",1)="⚠","",MID(INDEX(인턴근무계획!$M$3:$R$62,$A49,$G$3)&amp;"",FIND(" ",INDEX(인턴근무계획!$M$3:$R$62,$A49,$G$3)&amp;"")+1,60))))</f>
        <v/>
      </c>
      <c r="I49" s="23">
        <f>IF(OR($C49="",$I$3=""),"",IF(INDEX(인턴근무계획!$M$3:$R$62,$A49,$I$3)&amp;""="","",IF(LEFT(INDEX(인턴근무계획!$M$3:$R$62,$A49,$I$3)&amp;"",1)="⚠",INDEX(인턴근무계획!$M$3:$R$62,$A49,$I$3)&amp;"",LEFT(INDEX(인턴근무계획!$M$3:$R$62,$A49,$I$3)&amp;"",FIND(" ",INDEX(인턴근무계획!$M$3:$R$62,$A49,$I$3)&amp;"")-1))))</f>
        <v/>
      </c>
      <c r="J49" s="23">
        <f>IF(OR($C49="",$I$3=""),"",IF(INDEX(인턴근무계획!$M$3:$R$62,$A49,$I$3)&amp;""="","",IF(LEFT(INDEX(인턴근무계획!$M$3:$R$62,$A49,$I$3)&amp;"",1)="⚠","",MID(INDEX(인턴근무계획!$M$3:$R$62,$A49,$I$3)&amp;"",FIND(" ",INDEX(인턴근무계획!$M$3:$R$62,$A49,$I$3)&amp;"")+1,60))))</f>
        <v/>
      </c>
      <c r="K49" s="23">
        <f>IF($C49="","",INDEX(인턴근무계획!$M$3:$M$62,$A49)&amp;"")</f>
        <v/>
      </c>
      <c r="L49" s="23">
        <f>IF($C49="","",INDEX(인턴근무계획!$N$3:$N$62,$A49)&amp;"")</f>
        <v/>
      </c>
      <c r="M49" s="23">
        <f>IF($C49="","",INDEX(인턴근무계획!$O$3:$O$62,$A49)&amp;"")</f>
        <v/>
      </c>
      <c r="N49" s="23">
        <f>IF($C49="","",INDEX(인턴근무계획!$P$3:$P$62,$A49)&amp;"")</f>
        <v/>
      </c>
      <c r="O49" s="23">
        <f>IF($C49="","",INDEX(인턴근무계획!$Q$3:$Q$62,$A49)&amp;"")</f>
        <v/>
      </c>
      <c r="P49" s="23">
        <f>IF($C49="","",INDEX(인턴근무계획!$R$3:$R$62,$A49)&amp;"")</f>
        <v/>
      </c>
      <c r="Q49" s="23">
        <f>IF($C49="","",INDEX(인턴근무계획!$T$3:$T$62,$A49))</f>
        <v/>
      </c>
    </row>
    <row r="50">
      <c r="A50" s="26" t="n">
        <v>45</v>
      </c>
      <c r="B50" s="23">
        <f>IF($C50="","",INDEX(인턴근무계획!$B$3:$B$62,$A50))</f>
        <v/>
      </c>
      <c r="C50" s="23">
        <f>IFERROR(TRIM(INDEX(인턴근무계획!$C$3:$C$62,$A50)&amp;""),"")</f>
        <v/>
      </c>
      <c r="D50" s="23">
        <f>IF($C50="","",INDEX(인턴근무계획!$D$3:$D$62,$A50))</f>
        <v/>
      </c>
      <c r="E50" s="23">
        <f>IF($C50="","",IF(IFERROR(MATCH($D50,기본자료!$B$2:$B$301,0),IFERROR(MATCH($D50&amp;"",기본자료!$B$2:$B$301,0),IFERROR(MATCH(VALUE($D50),기본자료!$B$2:$B$301,0),0)))&gt;0,"확인","미등록"))</f>
        <v/>
      </c>
      <c r="F50" s="27">
        <f>IF($C50="","",INDEX(인턴근무계획!$S$3:$S$62,$A50))</f>
        <v/>
      </c>
      <c r="G50" s="23">
        <f>IF(OR($C50="",$G$3=""),"",IF(INDEX(인턴근무계획!$M$3:$R$62,$A50,$G$3)&amp;""="","",IF(LEFT(INDEX(인턴근무계획!$M$3:$R$62,$A50,$G$3)&amp;"",1)="⚠",INDEX(인턴근무계획!$M$3:$R$62,$A50,$G$3)&amp;"",LEFT(INDEX(인턴근무계획!$M$3:$R$62,$A50,$G$3)&amp;"",FIND(" ",INDEX(인턴근무계획!$M$3:$R$62,$A50,$G$3)&amp;"")-1))))</f>
        <v/>
      </c>
      <c r="H50" s="23">
        <f>IF(OR($C50="",$G$3=""),"",IF(INDEX(인턴근무계획!$M$3:$R$62,$A50,$G$3)&amp;""="","",IF(LEFT(INDEX(인턴근무계획!$M$3:$R$62,$A50,$G$3)&amp;"",1)="⚠","",MID(INDEX(인턴근무계획!$M$3:$R$62,$A50,$G$3)&amp;"",FIND(" ",INDEX(인턴근무계획!$M$3:$R$62,$A50,$G$3)&amp;"")+1,60))))</f>
        <v/>
      </c>
      <c r="I50" s="23">
        <f>IF(OR($C50="",$I$3=""),"",IF(INDEX(인턴근무계획!$M$3:$R$62,$A50,$I$3)&amp;""="","",IF(LEFT(INDEX(인턴근무계획!$M$3:$R$62,$A50,$I$3)&amp;"",1)="⚠",INDEX(인턴근무계획!$M$3:$R$62,$A50,$I$3)&amp;"",LEFT(INDEX(인턴근무계획!$M$3:$R$62,$A50,$I$3)&amp;"",FIND(" ",INDEX(인턴근무계획!$M$3:$R$62,$A50,$I$3)&amp;"")-1))))</f>
        <v/>
      </c>
      <c r="J50" s="23">
        <f>IF(OR($C50="",$I$3=""),"",IF(INDEX(인턴근무계획!$M$3:$R$62,$A50,$I$3)&amp;""="","",IF(LEFT(INDEX(인턴근무계획!$M$3:$R$62,$A50,$I$3)&amp;"",1)="⚠","",MID(INDEX(인턴근무계획!$M$3:$R$62,$A50,$I$3)&amp;"",FIND(" ",INDEX(인턴근무계획!$M$3:$R$62,$A50,$I$3)&amp;"")+1,60))))</f>
        <v/>
      </c>
      <c r="K50" s="23">
        <f>IF($C50="","",INDEX(인턴근무계획!$M$3:$M$62,$A50)&amp;"")</f>
        <v/>
      </c>
      <c r="L50" s="23">
        <f>IF($C50="","",INDEX(인턴근무계획!$N$3:$N$62,$A50)&amp;"")</f>
        <v/>
      </c>
      <c r="M50" s="23">
        <f>IF($C50="","",INDEX(인턴근무계획!$O$3:$O$62,$A50)&amp;"")</f>
        <v/>
      </c>
      <c r="N50" s="23">
        <f>IF($C50="","",INDEX(인턴근무계획!$P$3:$P$62,$A50)&amp;"")</f>
        <v/>
      </c>
      <c r="O50" s="23">
        <f>IF($C50="","",INDEX(인턴근무계획!$Q$3:$Q$62,$A50)&amp;"")</f>
        <v/>
      </c>
      <c r="P50" s="23">
        <f>IF($C50="","",INDEX(인턴근무계획!$R$3:$R$62,$A50)&amp;"")</f>
        <v/>
      </c>
      <c r="Q50" s="23">
        <f>IF($C50="","",INDEX(인턴근무계획!$T$3:$T$62,$A50))</f>
        <v/>
      </c>
    </row>
    <row r="51">
      <c r="A51" s="26" t="n">
        <v>46</v>
      </c>
      <c r="B51" s="23">
        <f>IF($C51="","",INDEX(인턴근무계획!$B$3:$B$62,$A51))</f>
        <v/>
      </c>
      <c r="C51" s="23">
        <f>IFERROR(TRIM(INDEX(인턴근무계획!$C$3:$C$62,$A51)&amp;""),"")</f>
        <v/>
      </c>
      <c r="D51" s="23">
        <f>IF($C51="","",INDEX(인턴근무계획!$D$3:$D$62,$A51))</f>
        <v/>
      </c>
      <c r="E51" s="23">
        <f>IF($C51="","",IF(IFERROR(MATCH($D51,기본자료!$B$2:$B$301,0),IFERROR(MATCH($D51&amp;"",기본자료!$B$2:$B$301,0),IFERROR(MATCH(VALUE($D51),기본자료!$B$2:$B$301,0),0)))&gt;0,"확인","미등록"))</f>
        <v/>
      </c>
      <c r="F51" s="27">
        <f>IF($C51="","",INDEX(인턴근무계획!$S$3:$S$62,$A51))</f>
        <v/>
      </c>
      <c r="G51" s="23">
        <f>IF(OR($C51="",$G$3=""),"",IF(INDEX(인턴근무계획!$M$3:$R$62,$A51,$G$3)&amp;""="","",IF(LEFT(INDEX(인턴근무계획!$M$3:$R$62,$A51,$G$3)&amp;"",1)="⚠",INDEX(인턴근무계획!$M$3:$R$62,$A51,$G$3)&amp;"",LEFT(INDEX(인턴근무계획!$M$3:$R$62,$A51,$G$3)&amp;"",FIND(" ",INDEX(인턴근무계획!$M$3:$R$62,$A51,$G$3)&amp;"")-1))))</f>
        <v/>
      </c>
      <c r="H51" s="23">
        <f>IF(OR($C51="",$G$3=""),"",IF(INDEX(인턴근무계획!$M$3:$R$62,$A51,$G$3)&amp;""="","",IF(LEFT(INDEX(인턴근무계획!$M$3:$R$62,$A51,$G$3)&amp;"",1)="⚠","",MID(INDEX(인턴근무계획!$M$3:$R$62,$A51,$G$3)&amp;"",FIND(" ",INDEX(인턴근무계획!$M$3:$R$62,$A51,$G$3)&amp;"")+1,60))))</f>
        <v/>
      </c>
      <c r="I51" s="23">
        <f>IF(OR($C51="",$I$3=""),"",IF(INDEX(인턴근무계획!$M$3:$R$62,$A51,$I$3)&amp;""="","",IF(LEFT(INDEX(인턴근무계획!$M$3:$R$62,$A51,$I$3)&amp;"",1)="⚠",INDEX(인턴근무계획!$M$3:$R$62,$A51,$I$3)&amp;"",LEFT(INDEX(인턴근무계획!$M$3:$R$62,$A51,$I$3)&amp;"",FIND(" ",INDEX(인턴근무계획!$M$3:$R$62,$A51,$I$3)&amp;"")-1))))</f>
        <v/>
      </c>
      <c r="J51" s="23">
        <f>IF(OR($C51="",$I$3=""),"",IF(INDEX(인턴근무계획!$M$3:$R$62,$A51,$I$3)&amp;""="","",IF(LEFT(INDEX(인턴근무계획!$M$3:$R$62,$A51,$I$3)&amp;"",1)="⚠","",MID(INDEX(인턴근무계획!$M$3:$R$62,$A51,$I$3)&amp;"",FIND(" ",INDEX(인턴근무계획!$M$3:$R$62,$A51,$I$3)&amp;"")+1,60))))</f>
        <v/>
      </c>
      <c r="K51" s="23">
        <f>IF($C51="","",INDEX(인턴근무계획!$M$3:$M$62,$A51)&amp;"")</f>
        <v/>
      </c>
      <c r="L51" s="23">
        <f>IF($C51="","",INDEX(인턴근무계획!$N$3:$N$62,$A51)&amp;"")</f>
        <v/>
      </c>
      <c r="M51" s="23">
        <f>IF($C51="","",INDEX(인턴근무계획!$O$3:$O$62,$A51)&amp;"")</f>
        <v/>
      </c>
      <c r="N51" s="23">
        <f>IF($C51="","",INDEX(인턴근무계획!$P$3:$P$62,$A51)&amp;"")</f>
        <v/>
      </c>
      <c r="O51" s="23">
        <f>IF($C51="","",INDEX(인턴근무계획!$Q$3:$Q$62,$A51)&amp;"")</f>
        <v/>
      </c>
      <c r="P51" s="23">
        <f>IF($C51="","",INDEX(인턴근무계획!$R$3:$R$62,$A51)&amp;"")</f>
        <v/>
      </c>
      <c r="Q51" s="23">
        <f>IF($C51="","",INDEX(인턴근무계획!$T$3:$T$62,$A51))</f>
        <v/>
      </c>
    </row>
    <row r="52">
      <c r="A52" s="26" t="n">
        <v>47</v>
      </c>
      <c r="B52" s="23">
        <f>IF($C52="","",INDEX(인턴근무계획!$B$3:$B$62,$A52))</f>
        <v/>
      </c>
      <c r="C52" s="23">
        <f>IFERROR(TRIM(INDEX(인턴근무계획!$C$3:$C$62,$A52)&amp;""),"")</f>
        <v/>
      </c>
      <c r="D52" s="23">
        <f>IF($C52="","",INDEX(인턴근무계획!$D$3:$D$62,$A52))</f>
        <v/>
      </c>
      <c r="E52" s="23">
        <f>IF($C52="","",IF(IFERROR(MATCH($D52,기본자료!$B$2:$B$301,0),IFERROR(MATCH($D52&amp;"",기본자료!$B$2:$B$301,0),IFERROR(MATCH(VALUE($D52),기본자료!$B$2:$B$301,0),0)))&gt;0,"확인","미등록"))</f>
        <v/>
      </c>
      <c r="F52" s="27">
        <f>IF($C52="","",INDEX(인턴근무계획!$S$3:$S$62,$A52))</f>
        <v/>
      </c>
      <c r="G52" s="23">
        <f>IF(OR($C52="",$G$3=""),"",IF(INDEX(인턴근무계획!$M$3:$R$62,$A52,$G$3)&amp;""="","",IF(LEFT(INDEX(인턴근무계획!$M$3:$R$62,$A52,$G$3)&amp;"",1)="⚠",INDEX(인턴근무계획!$M$3:$R$62,$A52,$G$3)&amp;"",LEFT(INDEX(인턴근무계획!$M$3:$R$62,$A52,$G$3)&amp;"",FIND(" ",INDEX(인턴근무계획!$M$3:$R$62,$A52,$G$3)&amp;"")-1))))</f>
        <v/>
      </c>
      <c r="H52" s="23">
        <f>IF(OR($C52="",$G$3=""),"",IF(INDEX(인턴근무계획!$M$3:$R$62,$A52,$G$3)&amp;""="","",IF(LEFT(INDEX(인턴근무계획!$M$3:$R$62,$A52,$G$3)&amp;"",1)="⚠","",MID(INDEX(인턴근무계획!$M$3:$R$62,$A52,$G$3)&amp;"",FIND(" ",INDEX(인턴근무계획!$M$3:$R$62,$A52,$G$3)&amp;"")+1,60))))</f>
        <v/>
      </c>
      <c r="I52" s="23">
        <f>IF(OR($C52="",$I$3=""),"",IF(INDEX(인턴근무계획!$M$3:$R$62,$A52,$I$3)&amp;""="","",IF(LEFT(INDEX(인턴근무계획!$M$3:$R$62,$A52,$I$3)&amp;"",1)="⚠",INDEX(인턴근무계획!$M$3:$R$62,$A52,$I$3)&amp;"",LEFT(INDEX(인턴근무계획!$M$3:$R$62,$A52,$I$3)&amp;"",FIND(" ",INDEX(인턴근무계획!$M$3:$R$62,$A52,$I$3)&amp;"")-1))))</f>
        <v/>
      </c>
      <c r="J52" s="23">
        <f>IF(OR($C52="",$I$3=""),"",IF(INDEX(인턴근무계획!$M$3:$R$62,$A52,$I$3)&amp;""="","",IF(LEFT(INDEX(인턴근무계획!$M$3:$R$62,$A52,$I$3)&amp;"",1)="⚠","",MID(INDEX(인턴근무계획!$M$3:$R$62,$A52,$I$3)&amp;"",FIND(" ",INDEX(인턴근무계획!$M$3:$R$62,$A52,$I$3)&amp;"")+1,60))))</f>
        <v/>
      </c>
      <c r="K52" s="23">
        <f>IF($C52="","",INDEX(인턴근무계획!$M$3:$M$62,$A52)&amp;"")</f>
        <v/>
      </c>
      <c r="L52" s="23">
        <f>IF($C52="","",INDEX(인턴근무계획!$N$3:$N$62,$A52)&amp;"")</f>
        <v/>
      </c>
      <c r="M52" s="23">
        <f>IF($C52="","",INDEX(인턴근무계획!$O$3:$O$62,$A52)&amp;"")</f>
        <v/>
      </c>
      <c r="N52" s="23">
        <f>IF($C52="","",INDEX(인턴근무계획!$P$3:$P$62,$A52)&amp;"")</f>
        <v/>
      </c>
      <c r="O52" s="23">
        <f>IF($C52="","",INDEX(인턴근무계획!$Q$3:$Q$62,$A52)&amp;"")</f>
        <v/>
      </c>
      <c r="P52" s="23">
        <f>IF($C52="","",INDEX(인턴근무계획!$R$3:$R$62,$A52)&amp;"")</f>
        <v/>
      </c>
      <c r="Q52" s="23">
        <f>IF($C52="","",INDEX(인턴근무계획!$T$3:$T$62,$A52))</f>
        <v/>
      </c>
    </row>
    <row r="53">
      <c r="A53" s="26" t="n">
        <v>48</v>
      </c>
      <c r="B53" s="23">
        <f>IF($C53="","",INDEX(인턴근무계획!$B$3:$B$62,$A53))</f>
        <v/>
      </c>
      <c r="C53" s="23">
        <f>IFERROR(TRIM(INDEX(인턴근무계획!$C$3:$C$62,$A53)&amp;""),"")</f>
        <v/>
      </c>
      <c r="D53" s="23">
        <f>IF($C53="","",INDEX(인턴근무계획!$D$3:$D$62,$A53))</f>
        <v/>
      </c>
      <c r="E53" s="23">
        <f>IF($C53="","",IF(IFERROR(MATCH($D53,기본자료!$B$2:$B$301,0),IFERROR(MATCH($D53&amp;"",기본자료!$B$2:$B$301,0),IFERROR(MATCH(VALUE($D53),기본자료!$B$2:$B$301,0),0)))&gt;0,"확인","미등록"))</f>
        <v/>
      </c>
      <c r="F53" s="27">
        <f>IF($C53="","",INDEX(인턴근무계획!$S$3:$S$62,$A53))</f>
        <v/>
      </c>
      <c r="G53" s="23">
        <f>IF(OR($C53="",$G$3=""),"",IF(INDEX(인턴근무계획!$M$3:$R$62,$A53,$G$3)&amp;""="","",IF(LEFT(INDEX(인턴근무계획!$M$3:$R$62,$A53,$G$3)&amp;"",1)="⚠",INDEX(인턴근무계획!$M$3:$R$62,$A53,$G$3)&amp;"",LEFT(INDEX(인턴근무계획!$M$3:$R$62,$A53,$G$3)&amp;"",FIND(" ",INDEX(인턴근무계획!$M$3:$R$62,$A53,$G$3)&amp;"")-1))))</f>
        <v/>
      </c>
      <c r="H53" s="23">
        <f>IF(OR($C53="",$G$3=""),"",IF(INDEX(인턴근무계획!$M$3:$R$62,$A53,$G$3)&amp;""="","",IF(LEFT(INDEX(인턴근무계획!$M$3:$R$62,$A53,$G$3)&amp;"",1)="⚠","",MID(INDEX(인턴근무계획!$M$3:$R$62,$A53,$G$3)&amp;"",FIND(" ",INDEX(인턴근무계획!$M$3:$R$62,$A53,$G$3)&amp;"")+1,60))))</f>
        <v/>
      </c>
      <c r="I53" s="23">
        <f>IF(OR($C53="",$I$3=""),"",IF(INDEX(인턴근무계획!$M$3:$R$62,$A53,$I$3)&amp;""="","",IF(LEFT(INDEX(인턴근무계획!$M$3:$R$62,$A53,$I$3)&amp;"",1)="⚠",INDEX(인턴근무계획!$M$3:$R$62,$A53,$I$3)&amp;"",LEFT(INDEX(인턴근무계획!$M$3:$R$62,$A53,$I$3)&amp;"",FIND(" ",INDEX(인턴근무계획!$M$3:$R$62,$A53,$I$3)&amp;"")-1))))</f>
        <v/>
      </c>
      <c r="J53" s="23">
        <f>IF(OR($C53="",$I$3=""),"",IF(INDEX(인턴근무계획!$M$3:$R$62,$A53,$I$3)&amp;""="","",IF(LEFT(INDEX(인턴근무계획!$M$3:$R$62,$A53,$I$3)&amp;"",1)="⚠","",MID(INDEX(인턴근무계획!$M$3:$R$62,$A53,$I$3)&amp;"",FIND(" ",INDEX(인턴근무계획!$M$3:$R$62,$A53,$I$3)&amp;"")+1,60))))</f>
        <v/>
      </c>
      <c r="K53" s="23">
        <f>IF($C53="","",INDEX(인턴근무계획!$M$3:$M$62,$A53)&amp;"")</f>
        <v/>
      </c>
      <c r="L53" s="23">
        <f>IF($C53="","",INDEX(인턴근무계획!$N$3:$N$62,$A53)&amp;"")</f>
        <v/>
      </c>
      <c r="M53" s="23">
        <f>IF($C53="","",INDEX(인턴근무계획!$O$3:$O$62,$A53)&amp;"")</f>
        <v/>
      </c>
      <c r="N53" s="23">
        <f>IF($C53="","",INDEX(인턴근무계획!$P$3:$P$62,$A53)&amp;"")</f>
        <v/>
      </c>
      <c r="O53" s="23">
        <f>IF($C53="","",INDEX(인턴근무계획!$Q$3:$Q$62,$A53)&amp;"")</f>
        <v/>
      </c>
      <c r="P53" s="23">
        <f>IF($C53="","",INDEX(인턴근무계획!$R$3:$R$62,$A53)&amp;"")</f>
        <v/>
      </c>
      <c r="Q53" s="23">
        <f>IF($C53="","",INDEX(인턴근무계획!$T$3:$T$62,$A53))</f>
        <v/>
      </c>
    </row>
    <row r="54">
      <c r="A54" s="26" t="n">
        <v>49</v>
      </c>
      <c r="B54" s="23">
        <f>IF($C54="","",INDEX(인턴근무계획!$B$3:$B$62,$A54))</f>
        <v/>
      </c>
      <c r="C54" s="23">
        <f>IFERROR(TRIM(INDEX(인턴근무계획!$C$3:$C$62,$A54)&amp;""),"")</f>
        <v/>
      </c>
      <c r="D54" s="23">
        <f>IF($C54="","",INDEX(인턴근무계획!$D$3:$D$62,$A54))</f>
        <v/>
      </c>
      <c r="E54" s="23">
        <f>IF($C54="","",IF(IFERROR(MATCH($D54,기본자료!$B$2:$B$301,0),IFERROR(MATCH($D54&amp;"",기본자료!$B$2:$B$301,0),IFERROR(MATCH(VALUE($D54),기본자료!$B$2:$B$301,0),0)))&gt;0,"확인","미등록"))</f>
        <v/>
      </c>
      <c r="F54" s="27">
        <f>IF($C54="","",INDEX(인턴근무계획!$S$3:$S$62,$A54))</f>
        <v/>
      </c>
      <c r="G54" s="23">
        <f>IF(OR($C54="",$G$3=""),"",IF(INDEX(인턴근무계획!$M$3:$R$62,$A54,$G$3)&amp;""="","",IF(LEFT(INDEX(인턴근무계획!$M$3:$R$62,$A54,$G$3)&amp;"",1)="⚠",INDEX(인턴근무계획!$M$3:$R$62,$A54,$G$3)&amp;"",LEFT(INDEX(인턴근무계획!$M$3:$R$62,$A54,$G$3)&amp;"",FIND(" ",INDEX(인턴근무계획!$M$3:$R$62,$A54,$G$3)&amp;"")-1))))</f>
        <v/>
      </c>
      <c r="H54" s="23">
        <f>IF(OR($C54="",$G$3=""),"",IF(INDEX(인턴근무계획!$M$3:$R$62,$A54,$G$3)&amp;""="","",IF(LEFT(INDEX(인턴근무계획!$M$3:$R$62,$A54,$G$3)&amp;"",1)="⚠","",MID(INDEX(인턴근무계획!$M$3:$R$62,$A54,$G$3)&amp;"",FIND(" ",INDEX(인턴근무계획!$M$3:$R$62,$A54,$G$3)&amp;"")+1,60))))</f>
        <v/>
      </c>
      <c r="I54" s="23">
        <f>IF(OR($C54="",$I$3=""),"",IF(INDEX(인턴근무계획!$M$3:$R$62,$A54,$I$3)&amp;""="","",IF(LEFT(INDEX(인턴근무계획!$M$3:$R$62,$A54,$I$3)&amp;"",1)="⚠",INDEX(인턴근무계획!$M$3:$R$62,$A54,$I$3)&amp;"",LEFT(INDEX(인턴근무계획!$M$3:$R$62,$A54,$I$3)&amp;"",FIND(" ",INDEX(인턴근무계획!$M$3:$R$62,$A54,$I$3)&amp;"")-1))))</f>
        <v/>
      </c>
      <c r="J54" s="23">
        <f>IF(OR($C54="",$I$3=""),"",IF(INDEX(인턴근무계획!$M$3:$R$62,$A54,$I$3)&amp;""="","",IF(LEFT(INDEX(인턴근무계획!$M$3:$R$62,$A54,$I$3)&amp;"",1)="⚠","",MID(INDEX(인턴근무계획!$M$3:$R$62,$A54,$I$3)&amp;"",FIND(" ",INDEX(인턴근무계획!$M$3:$R$62,$A54,$I$3)&amp;"")+1,60))))</f>
        <v/>
      </c>
      <c r="K54" s="23">
        <f>IF($C54="","",INDEX(인턴근무계획!$M$3:$M$62,$A54)&amp;"")</f>
        <v/>
      </c>
      <c r="L54" s="23">
        <f>IF($C54="","",INDEX(인턴근무계획!$N$3:$N$62,$A54)&amp;"")</f>
        <v/>
      </c>
      <c r="M54" s="23">
        <f>IF($C54="","",INDEX(인턴근무계획!$O$3:$O$62,$A54)&amp;"")</f>
        <v/>
      </c>
      <c r="N54" s="23">
        <f>IF($C54="","",INDEX(인턴근무계획!$P$3:$P$62,$A54)&amp;"")</f>
        <v/>
      </c>
      <c r="O54" s="23">
        <f>IF($C54="","",INDEX(인턴근무계획!$Q$3:$Q$62,$A54)&amp;"")</f>
        <v/>
      </c>
      <c r="P54" s="23">
        <f>IF($C54="","",INDEX(인턴근무계획!$R$3:$R$62,$A54)&amp;"")</f>
        <v/>
      </c>
      <c r="Q54" s="23">
        <f>IF($C54="","",INDEX(인턴근무계획!$T$3:$T$62,$A54))</f>
        <v/>
      </c>
    </row>
    <row r="55">
      <c r="A55" s="26" t="n">
        <v>50</v>
      </c>
      <c r="B55" s="23">
        <f>IF($C55="","",INDEX(인턴근무계획!$B$3:$B$62,$A55))</f>
        <v/>
      </c>
      <c r="C55" s="23">
        <f>IFERROR(TRIM(INDEX(인턴근무계획!$C$3:$C$62,$A55)&amp;""),"")</f>
        <v/>
      </c>
      <c r="D55" s="23">
        <f>IF($C55="","",INDEX(인턴근무계획!$D$3:$D$62,$A55))</f>
        <v/>
      </c>
      <c r="E55" s="23">
        <f>IF($C55="","",IF(IFERROR(MATCH($D55,기본자료!$B$2:$B$301,0),IFERROR(MATCH($D55&amp;"",기본자료!$B$2:$B$301,0),IFERROR(MATCH(VALUE($D55),기본자료!$B$2:$B$301,0),0)))&gt;0,"확인","미등록"))</f>
        <v/>
      </c>
      <c r="F55" s="27">
        <f>IF($C55="","",INDEX(인턴근무계획!$S$3:$S$62,$A55))</f>
        <v/>
      </c>
      <c r="G55" s="23">
        <f>IF(OR($C55="",$G$3=""),"",IF(INDEX(인턴근무계획!$M$3:$R$62,$A55,$G$3)&amp;""="","",IF(LEFT(INDEX(인턴근무계획!$M$3:$R$62,$A55,$G$3)&amp;"",1)="⚠",INDEX(인턴근무계획!$M$3:$R$62,$A55,$G$3)&amp;"",LEFT(INDEX(인턴근무계획!$M$3:$R$62,$A55,$G$3)&amp;"",FIND(" ",INDEX(인턴근무계획!$M$3:$R$62,$A55,$G$3)&amp;"")-1))))</f>
        <v/>
      </c>
      <c r="H55" s="23">
        <f>IF(OR($C55="",$G$3=""),"",IF(INDEX(인턴근무계획!$M$3:$R$62,$A55,$G$3)&amp;""="","",IF(LEFT(INDEX(인턴근무계획!$M$3:$R$62,$A55,$G$3)&amp;"",1)="⚠","",MID(INDEX(인턴근무계획!$M$3:$R$62,$A55,$G$3)&amp;"",FIND(" ",INDEX(인턴근무계획!$M$3:$R$62,$A55,$G$3)&amp;"")+1,60))))</f>
        <v/>
      </c>
      <c r="I55" s="23">
        <f>IF(OR($C55="",$I$3=""),"",IF(INDEX(인턴근무계획!$M$3:$R$62,$A55,$I$3)&amp;""="","",IF(LEFT(INDEX(인턴근무계획!$M$3:$R$62,$A55,$I$3)&amp;"",1)="⚠",INDEX(인턴근무계획!$M$3:$R$62,$A55,$I$3)&amp;"",LEFT(INDEX(인턴근무계획!$M$3:$R$62,$A55,$I$3)&amp;"",FIND(" ",INDEX(인턴근무계획!$M$3:$R$62,$A55,$I$3)&amp;"")-1))))</f>
        <v/>
      </c>
      <c r="J55" s="23">
        <f>IF(OR($C55="",$I$3=""),"",IF(INDEX(인턴근무계획!$M$3:$R$62,$A55,$I$3)&amp;""="","",IF(LEFT(INDEX(인턴근무계획!$M$3:$R$62,$A55,$I$3)&amp;"",1)="⚠","",MID(INDEX(인턴근무계획!$M$3:$R$62,$A55,$I$3)&amp;"",FIND(" ",INDEX(인턴근무계획!$M$3:$R$62,$A55,$I$3)&amp;"")+1,60))))</f>
        <v/>
      </c>
      <c r="K55" s="23">
        <f>IF($C55="","",INDEX(인턴근무계획!$M$3:$M$62,$A55)&amp;"")</f>
        <v/>
      </c>
      <c r="L55" s="23">
        <f>IF($C55="","",INDEX(인턴근무계획!$N$3:$N$62,$A55)&amp;"")</f>
        <v/>
      </c>
      <c r="M55" s="23">
        <f>IF($C55="","",INDEX(인턴근무계획!$O$3:$O$62,$A55)&amp;"")</f>
        <v/>
      </c>
      <c r="N55" s="23">
        <f>IF($C55="","",INDEX(인턴근무계획!$P$3:$P$62,$A55)&amp;"")</f>
        <v/>
      </c>
      <c r="O55" s="23">
        <f>IF($C55="","",INDEX(인턴근무계획!$Q$3:$Q$62,$A55)&amp;"")</f>
        <v/>
      </c>
      <c r="P55" s="23">
        <f>IF($C55="","",INDEX(인턴근무계획!$R$3:$R$62,$A55)&amp;"")</f>
        <v/>
      </c>
      <c r="Q55" s="23">
        <f>IF($C55="","",INDEX(인턴근무계획!$T$3:$T$62,$A55))</f>
        <v/>
      </c>
    </row>
    <row r="56">
      <c r="A56" s="26" t="n">
        <v>51</v>
      </c>
      <c r="B56" s="23">
        <f>IF($C56="","",INDEX(인턴근무계획!$B$3:$B$62,$A56))</f>
        <v/>
      </c>
      <c r="C56" s="23">
        <f>IFERROR(TRIM(INDEX(인턴근무계획!$C$3:$C$62,$A56)&amp;""),"")</f>
        <v/>
      </c>
      <c r="D56" s="23">
        <f>IF($C56="","",INDEX(인턴근무계획!$D$3:$D$62,$A56))</f>
        <v/>
      </c>
      <c r="E56" s="23">
        <f>IF($C56="","",IF(IFERROR(MATCH($D56,기본자료!$B$2:$B$301,0),IFERROR(MATCH($D56&amp;"",기본자료!$B$2:$B$301,0),IFERROR(MATCH(VALUE($D56),기본자료!$B$2:$B$301,0),0)))&gt;0,"확인","미등록"))</f>
        <v/>
      </c>
      <c r="F56" s="27">
        <f>IF($C56="","",INDEX(인턴근무계획!$S$3:$S$62,$A56))</f>
        <v/>
      </c>
      <c r="G56" s="23">
        <f>IF(OR($C56="",$G$3=""),"",IF(INDEX(인턴근무계획!$M$3:$R$62,$A56,$G$3)&amp;""="","",IF(LEFT(INDEX(인턴근무계획!$M$3:$R$62,$A56,$G$3)&amp;"",1)="⚠",INDEX(인턴근무계획!$M$3:$R$62,$A56,$G$3)&amp;"",LEFT(INDEX(인턴근무계획!$M$3:$R$62,$A56,$G$3)&amp;"",FIND(" ",INDEX(인턴근무계획!$M$3:$R$62,$A56,$G$3)&amp;"")-1))))</f>
        <v/>
      </c>
      <c r="H56" s="23">
        <f>IF(OR($C56="",$G$3=""),"",IF(INDEX(인턴근무계획!$M$3:$R$62,$A56,$G$3)&amp;""="","",IF(LEFT(INDEX(인턴근무계획!$M$3:$R$62,$A56,$G$3)&amp;"",1)="⚠","",MID(INDEX(인턴근무계획!$M$3:$R$62,$A56,$G$3)&amp;"",FIND(" ",INDEX(인턴근무계획!$M$3:$R$62,$A56,$G$3)&amp;"")+1,60))))</f>
        <v/>
      </c>
      <c r="I56" s="23">
        <f>IF(OR($C56="",$I$3=""),"",IF(INDEX(인턴근무계획!$M$3:$R$62,$A56,$I$3)&amp;""="","",IF(LEFT(INDEX(인턴근무계획!$M$3:$R$62,$A56,$I$3)&amp;"",1)="⚠",INDEX(인턴근무계획!$M$3:$R$62,$A56,$I$3)&amp;"",LEFT(INDEX(인턴근무계획!$M$3:$R$62,$A56,$I$3)&amp;"",FIND(" ",INDEX(인턴근무계획!$M$3:$R$62,$A56,$I$3)&amp;"")-1))))</f>
        <v/>
      </c>
      <c r="J56" s="23">
        <f>IF(OR($C56="",$I$3=""),"",IF(INDEX(인턴근무계획!$M$3:$R$62,$A56,$I$3)&amp;""="","",IF(LEFT(INDEX(인턴근무계획!$M$3:$R$62,$A56,$I$3)&amp;"",1)="⚠","",MID(INDEX(인턴근무계획!$M$3:$R$62,$A56,$I$3)&amp;"",FIND(" ",INDEX(인턴근무계획!$M$3:$R$62,$A56,$I$3)&amp;"")+1,60))))</f>
        <v/>
      </c>
      <c r="K56" s="23">
        <f>IF($C56="","",INDEX(인턴근무계획!$M$3:$M$62,$A56)&amp;"")</f>
        <v/>
      </c>
      <c r="L56" s="23">
        <f>IF($C56="","",INDEX(인턴근무계획!$N$3:$N$62,$A56)&amp;"")</f>
        <v/>
      </c>
      <c r="M56" s="23">
        <f>IF($C56="","",INDEX(인턴근무계획!$O$3:$O$62,$A56)&amp;"")</f>
        <v/>
      </c>
      <c r="N56" s="23">
        <f>IF($C56="","",INDEX(인턴근무계획!$P$3:$P$62,$A56)&amp;"")</f>
        <v/>
      </c>
      <c r="O56" s="23">
        <f>IF($C56="","",INDEX(인턴근무계획!$Q$3:$Q$62,$A56)&amp;"")</f>
        <v/>
      </c>
      <c r="P56" s="23">
        <f>IF($C56="","",INDEX(인턴근무계획!$R$3:$R$62,$A56)&amp;"")</f>
        <v/>
      </c>
      <c r="Q56" s="23">
        <f>IF($C56="","",INDEX(인턴근무계획!$T$3:$T$62,$A56))</f>
        <v/>
      </c>
    </row>
    <row r="57">
      <c r="A57" s="26" t="n">
        <v>52</v>
      </c>
      <c r="B57" s="23">
        <f>IF($C57="","",INDEX(인턴근무계획!$B$3:$B$62,$A57))</f>
        <v/>
      </c>
      <c r="C57" s="23">
        <f>IFERROR(TRIM(INDEX(인턴근무계획!$C$3:$C$62,$A57)&amp;""),"")</f>
        <v/>
      </c>
      <c r="D57" s="23">
        <f>IF($C57="","",INDEX(인턴근무계획!$D$3:$D$62,$A57))</f>
        <v/>
      </c>
      <c r="E57" s="23">
        <f>IF($C57="","",IF(IFERROR(MATCH($D57,기본자료!$B$2:$B$301,0),IFERROR(MATCH($D57&amp;"",기본자료!$B$2:$B$301,0),IFERROR(MATCH(VALUE($D57),기본자료!$B$2:$B$301,0),0)))&gt;0,"확인","미등록"))</f>
        <v/>
      </c>
      <c r="F57" s="27">
        <f>IF($C57="","",INDEX(인턴근무계획!$S$3:$S$62,$A57))</f>
        <v/>
      </c>
      <c r="G57" s="23">
        <f>IF(OR($C57="",$G$3=""),"",IF(INDEX(인턴근무계획!$M$3:$R$62,$A57,$G$3)&amp;""="","",IF(LEFT(INDEX(인턴근무계획!$M$3:$R$62,$A57,$G$3)&amp;"",1)="⚠",INDEX(인턴근무계획!$M$3:$R$62,$A57,$G$3)&amp;"",LEFT(INDEX(인턴근무계획!$M$3:$R$62,$A57,$G$3)&amp;"",FIND(" ",INDEX(인턴근무계획!$M$3:$R$62,$A57,$G$3)&amp;"")-1))))</f>
        <v/>
      </c>
      <c r="H57" s="23">
        <f>IF(OR($C57="",$G$3=""),"",IF(INDEX(인턴근무계획!$M$3:$R$62,$A57,$G$3)&amp;""="","",IF(LEFT(INDEX(인턴근무계획!$M$3:$R$62,$A57,$G$3)&amp;"",1)="⚠","",MID(INDEX(인턴근무계획!$M$3:$R$62,$A57,$G$3)&amp;"",FIND(" ",INDEX(인턴근무계획!$M$3:$R$62,$A57,$G$3)&amp;"")+1,60))))</f>
        <v/>
      </c>
      <c r="I57" s="23">
        <f>IF(OR($C57="",$I$3=""),"",IF(INDEX(인턴근무계획!$M$3:$R$62,$A57,$I$3)&amp;""="","",IF(LEFT(INDEX(인턴근무계획!$M$3:$R$62,$A57,$I$3)&amp;"",1)="⚠",INDEX(인턴근무계획!$M$3:$R$62,$A57,$I$3)&amp;"",LEFT(INDEX(인턴근무계획!$M$3:$R$62,$A57,$I$3)&amp;"",FIND(" ",INDEX(인턴근무계획!$M$3:$R$62,$A57,$I$3)&amp;"")-1))))</f>
        <v/>
      </c>
      <c r="J57" s="23">
        <f>IF(OR($C57="",$I$3=""),"",IF(INDEX(인턴근무계획!$M$3:$R$62,$A57,$I$3)&amp;""="","",IF(LEFT(INDEX(인턴근무계획!$M$3:$R$62,$A57,$I$3)&amp;"",1)="⚠","",MID(INDEX(인턴근무계획!$M$3:$R$62,$A57,$I$3)&amp;"",FIND(" ",INDEX(인턴근무계획!$M$3:$R$62,$A57,$I$3)&amp;"")+1,60))))</f>
        <v/>
      </c>
      <c r="K57" s="23">
        <f>IF($C57="","",INDEX(인턴근무계획!$M$3:$M$62,$A57)&amp;"")</f>
        <v/>
      </c>
      <c r="L57" s="23">
        <f>IF($C57="","",INDEX(인턴근무계획!$N$3:$N$62,$A57)&amp;"")</f>
        <v/>
      </c>
      <c r="M57" s="23">
        <f>IF($C57="","",INDEX(인턴근무계획!$O$3:$O$62,$A57)&amp;"")</f>
        <v/>
      </c>
      <c r="N57" s="23">
        <f>IF($C57="","",INDEX(인턴근무계획!$P$3:$P$62,$A57)&amp;"")</f>
        <v/>
      </c>
      <c r="O57" s="23">
        <f>IF($C57="","",INDEX(인턴근무계획!$Q$3:$Q$62,$A57)&amp;"")</f>
        <v/>
      </c>
      <c r="P57" s="23">
        <f>IF($C57="","",INDEX(인턴근무계획!$R$3:$R$62,$A57)&amp;"")</f>
        <v/>
      </c>
      <c r="Q57" s="23">
        <f>IF($C57="","",INDEX(인턴근무계획!$T$3:$T$62,$A57))</f>
        <v/>
      </c>
    </row>
    <row r="58">
      <c r="A58" s="26" t="n">
        <v>53</v>
      </c>
      <c r="B58" s="23">
        <f>IF($C58="","",INDEX(인턴근무계획!$B$3:$B$62,$A58))</f>
        <v/>
      </c>
      <c r="C58" s="23">
        <f>IFERROR(TRIM(INDEX(인턴근무계획!$C$3:$C$62,$A58)&amp;""),"")</f>
        <v/>
      </c>
      <c r="D58" s="23">
        <f>IF($C58="","",INDEX(인턴근무계획!$D$3:$D$62,$A58))</f>
        <v/>
      </c>
      <c r="E58" s="23">
        <f>IF($C58="","",IF(IFERROR(MATCH($D58,기본자료!$B$2:$B$301,0),IFERROR(MATCH($D58&amp;"",기본자료!$B$2:$B$301,0),IFERROR(MATCH(VALUE($D58),기본자료!$B$2:$B$301,0),0)))&gt;0,"확인","미등록"))</f>
        <v/>
      </c>
      <c r="F58" s="27">
        <f>IF($C58="","",INDEX(인턴근무계획!$S$3:$S$62,$A58))</f>
        <v/>
      </c>
      <c r="G58" s="23">
        <f>IF(OR($C58="",$G$3=""),"",IF(INDEX(인턴근무계획!$M$3:$R$62,$A58,$G$3)&amp;""="","",IF(LEFT(INDEX(인턴근무계획!$M$3:$R$62,$A58,$G$3)&amp;"",1)="⚠",INDEX(인턴근무계획!$M$3:$R$62,$A58,$G$3)&amp;"",LEFT(INDEX(인턴근무계획!$M$3:$R$62,$A58,$G$3)&amp;"",FIND(" ",INDEX(인턴근무계획!$M$3:$R$62,$A58,$G$3)&amp;"")-1))))</f>
        <v/>
      </c>
      <c r="H58" s="23">
        <f>IF(OR($C58="",$G$3=""),"",IF(INDEX(인턴근무계획!$M$3:$R$62,$A58,$G$3)&amp;""="","",IF(LEFT(INDEX(인턴근무계획!$M$3:$R$62,$A58,$G$3)&amp;"",1)="⚠","",MID(INDEX(인턴근무계획!$M$3:$R$62,$A58,$G$3)&amp;"",FIND(" ",INDEX(인턴근무계획!$M$3:$R$62,$A58,$G$3)&amp;"")+1,60))))</f>
        <v/>
      </c>
      <c r="I58" s="23">
        <f>IF(OR($C58="",$I$3=""),"",IF(INDEX(인턴근무계획!$M$3:$R$62,$A58,$I$3)&amp;""="","",IF(LEFT(INDEX(인턴근무계획!$M$3:$R$62,$A58,$I$3)&amp;"",1)="⚠",INDEX(인턴근무계획!$M$3:$R$62,$A58,$I$3)&amp;"",LEFT(INDEX(인턴근무계획!$M$3:$R$62,$A58,$I$3)&amp;"",FIND(" ",INDEX(인턴근무계획!$M$3:$R$62,$A58,$I$3)&amp;"")-1))))</f>
        <v/>
      </c>
      <c r="J58" s="23">
        <f>IF(OR($C58="",$I$3=""),"",IF(INDEX(인턴근무계획!$M$3:$R$62,$A58,$I$3)&amp;""="","",IF(LEFT(INDEX(인턴근무계획!$M$3:$R$62,$A58,$I$3)&amp;"",1)="⚠","",MID(INDEX(인턴근무계획!$M$3:$R$62,$A58,$I$3)&amp;"",FIND(" ",INDEX(인턴근무계획!$M$3:$R$62,$A58,$I$3)&amp;"")+1,60))))</f>
        <v/>
      </c>
      <c r="K58" s="23">
        <f>IF($C58="","",INDEX(인턴근무계획!$M$3:$M$62,$A58)&amp;"")</f>
        <v/>
      </c>
      <c r="L58" s="23">
        <f>IF($C58="","",INDEX(인턴근무계획!$N$3:$N$62,$A58)&amp;"")</f>
        <v/>
      </c>
      <c r="M58" s="23">
        <f>IF($C58="","",INDEX(인턴근무계획!$O$3:$O$62,$A58)&amp;"")</f>
        <v/>
      </c>
      <c r="N58" s="23">
        <f>IF($C58="","",INDEX(인턴근무계획!$P$3:$P$62,$A58)&amp;"")</f>
        <v/>
      </c>
      <c r="O58" s="23">
        <f>IF($C58="","",INDEX(인턴근무계획!$Q$3:$Q$62,$A58)&amp;"")</f>
        <v/>
      </c>
      <c r="P58" s="23">
        <f>IF($C58="","",INDEX(인턴근무계획!$R$3:$R$62,$A58)&amp;"")</f>
        <v/>
      </c>
      <c r="Q58" s="23">
        <f>IF($C58="","",INDEX(인턴근무계획!$T$3:$T$62,$A58))</f>
        <v/>
      </c>
    </row>
    <row r="59">
      <c r="A59" s="26" t="n">
        <v>54</v>
      </c>
      <c r="B59" s="23">
        <f>IF($C59="","",INDEX(인턴근무계획!$B$3:$B$62,$A59))</f>
        <v/>
      </c>
      <c r="C59" s="23">
        <f>IFERROR(TRIM(INDEX(인턴근무계획!$C$3:$C$62,$A59)&amp;""),"")</f>
        <v/>
      </c>
      <c r="D59" s="23">
        <f>IF($C59="","",INDEX(인턴근무계획!$D$3:$D$62,$A59))</f>
        <v/>
      </c>
      <c r="E59" s="23">
        <f>IF($C59="","",IF(IFERROR(MATCH($D59,기본자료!$B$2:$B$301,0),IFERROR(MATCH($D59&amp;"",기본자료!$B$2:$B$301,0),IFERROR(MATCH(VALUE($D59),기본자료!$B$2:$B$301,0),0)))&gt;0,"확인","미등록"))</f>
        <v/>
      </c>
      <c r="F59" s="27">
        <f>IF($C59="","",INDEX(인턴근무계획!$S$3:$S$62,$A59))</f>
        <v/>
      </c>
      <c r="G59" s="23">
        <f>IF(OR($C59="",$G$3=""),"",IF(INDEX(인턴근무계획!$M$3:$R$62,$A59,$G$3)&amp;""="","",IF(LEFT(INDEX(인턴근무계획!$M$3:$R$62,$A59,$G$3)&amp;"",1)="⚠",INDEX(인턴근무계획!$M$3:$R$62,$A59,$G$3)&amp;"",LEFT(INDEX(인턴근무계획!$M$3:$R$62,$A59,$G$3)&amp;"",FIND(" ",INDEX(인턴근무계획!$M$3:$R$62,$A59,$G$3)&amp;"")-1))))</f>
        <v/>
      </c>
      <c r="H59" s="23">
        <f>IF(OR($C59="",$G$3=""),"",IF(INDEX(인턴근무계획!$M$3:$R$62,$A59,$G$3)&amp;""="","",IF(LEFT(INDEX(인턴근무계획!$M$3:$R$62,$A59,$G$3)&amp;"",1)="⚠","",MID(INDEX(인턴근무계획!$M$3:$R$62,$A59,$G$3)&amp;"",FIND(" ",INDEX(인턴근무계획!$M$3:$R$62,$A59,$G$3)&amp;"")+1,60))))</f>
        <v/>
      </c>
      <c r="I59" s="23">
        <f>IF(OR($C59="",$I$3=""),"",IF(INDEX(인턴근무계획!$M$3:$R$62,$A59,$I$3)&amp;""="","",IF(LEFT(INDEX(인턴근무계획!$M$3:$R$62,$A59,$I$3)&amp;"",1)="⚠",INDEX(인턴근무계획!$M$3:$R$62,$A59,$I$3)&amp;"",LEFT(INDEX(인턴근무계획!$M$3:$R$62,$A59,$I$3)&amp;"",FIND(" ",INDEX(인턴근무계획!$M$3:$R$62,$A59,$I$3)&amp;"")-1))))</f>
        <v/>
      </c>
      <c r="J59" s="23">
        <f>IF(OR($C59="",$I$3=""),"",IF(INDEX(인턴근무계획!$M$3:$R$62,$A59,$I$3)&amp;""="","",IF(LEFT(INDEX(인턴근무계획!$M$3:$R$62,$A59,$I$3)&amp;"",1)="⚠","",MID(INDEX(인턴근무계획!$M$3:$R$62,$A59,$I$3)&amp;"",FIND(" ",INDEX(인턴근무계획!$M$3:$R$62,$A59,$I$3)&amp;"")+1,60))))</f>
        <v/>
      </c>
      <c r="K59" s="23">
        <f>IF($C59="","",INDEX(인턴근무계획!$M$3:$M$62,$A59)&amp;"")</f>
        <v/>
      </c>
      <c r="L59" s="23">
        <f>IF($C59="","",INDEX(인턴근무계획!$N$3:$N$62,$A59)&amp;"")</f>
        <v/>
      </c>
      <c r="M59" s="23">
        <f>IF($C59="","",INDEX(인턴근무계획!$O$3:$O$62,$A59)&amp;"")</f>
        <v/>
      </c>
      <c r="N59" s="23">
        <f>IF($C59="","",INDEX(인턴근무계획!$P$3:$P$62,$A59)&amp;"")</f>
        <v/>
      </c>
      <c r="O59" s="23">
        <f>IF($C59="","",INDEX(인턴근무계획!$Q$3:$Q$62,$A59)&amp;"")</f>
        <v/>
      </c>
      <c r="P59" s="23">
        <f>IF($C59="","",INDEX(인턴근무계획!$R$3:$R$62,$A59)&amp;"")</f>
        <v/>
      </c>
      <c r="Q59" s="23">
        <f>IF($C59="","",INDEX(인턴근무계획!$T$3:$T$62,$A59))</f>
        <v/>
      </c>
    </row>
    <row r="60">
      <c r="A60" s="26" t="n">
        <v>55</v>
      </c>
      <c r="B60" s="23">
        <f>IF($C60="","",INDEX(인턴근무계획!$B$3:$B$62,$A60))</f>
        <v/>
      </c>
      <c r="C60" s="23">
        <f>IFERROR(TRIM(INDEX(인턴근무계획!$C$3:$C$62,$A60)&amp;""),"")</f>
        <v/>
      </c>
      <c r="D60" s="23">
        <f>IF($C60="","",INDEX(인턴근무계획!$D$3:$D$62,$A60))</f>
        <v/>
      </c>
      <c r="E60" s="23">
        <f>IF($C60="","",IF(IFERROR(MATCH($D60,기본자료!$B$2:$B$301,0),IFERROR(MATCH($D60&amp;"",기본자료!$B$2:$B$301,0),IFERROR(MATCH(VALUE($D60),기본자료!$B$2:$B$301,0),0)))&gt;0,"확인","미등록"))</f>
        <v/>
      </c>
      <c r="F60" s="27">
        <f>IF($C60="","",INDEX(인턴근무계획!$S$3:$S$62,$A60))</f>
        <v/>
      </c>
      <c r="G60" s="23">
        <f>IF(OR($C60="",$G$3=""),"",IF(INDEX(인턴근무계획!$M$3:$R$62,$A60,$G$3)&amp;""="","",IF(LEFT(INDEX(인턴근무계획!$M$3:$R$62,$A60,$G$3)&amp;"",1)="⚠",INDEX(인턴근무계획!$M$3:$R$62,$A60,$G$3)&amp;"",LEFT(INDEX(인턴근무계획!$M$3:$R$62,$A60,$G$3)&amp;"",FIND(" ",INDEX(인턴근무계획!$M$3:$R$62,$A60,$G$3)&amp;"")-1))))</f>
        <v/>
      </c>
      <c r="H60" s="23">
        <f>IF(OR($C60="",$G$3=""),"",IF(INDEX(인턴근무계획!$M$3:$R$62,$A60,$G$3)&amp;""="","",IF(LEFT(INDEX(인턴근무계획!$M$3:$R$62,$A60,$G$3)&amp;"",1)="⚠","",MID(INDEX(인턴근무계획!$M$3:$R$62,$A60,$G$3)&amp;"",FIND(" ",INDEX(인턴근무계획!$M$3:$R$62,$A60,$G$3)&amp;"")+1,60))))</f>
        <v/>
      </c>
      <c r="I60" s="23">
        <f>IF(OR($C60="",$I$3=""),"",IF(INDEX(인턴근무계획!$M$3:$R$62,$A60,$I$3)&amp;""="","",IF(LEFT(INDEX(인턴근무계획!$M$3:$R$62,$A60,$I$3)&amp;"",1)="⚠",INDEX(인턴근무계획!$M$3:$R$62,$A60,$I$3)&amp;"",LEFT(INDEX(인턴근무계획!$M$3:$R$62,$A60,$I$3)&amp;"",FIND(" ",INDEX(인턴근무계획!$M$3:$R$62,$A60,$I$3)&amp;"")-1))))</f>
        <v/>
      </c>
      <c r="J60" s="23">
        <f>IF(OR($C60="",$I$3=""),"",IF(INDEX(인턴근무계획!$M$3:$R$62,$A60,$I$3)&amp;""="","",IF(LEFT(INDEX(인턴근무계획!$M$3:$R$62,$A60,$I$3)&amp;"",1)="⚠","",MID(INDEX(인턴근무계획!$M$3:$R$62,$A60,$I$3)&amp;"",FIND(" ",INDEX(인턴근무계획!$M$3:$R$62,$A60,$I$3)&amp;"")+1,60))))</f>
        <v/>
      </c>
      <c r="K60" s="23">
        <f>IF($C60="","",INDEX(인턴근무계획!$M$3:$M$62,$A60)&amp;"")</f>
        <v/>
      </c>
      <c r="L60" s="23">
        <f>IF($C60="","",INDEX(인턴근무계획!$N$3:$N$62,$A60)&amp;"")</f>
        <v/>
      </c>
      <c r="M60" s="23">
        <f>IF($C60="","",INDEX(인턴근무계획!$O$3:$O$62,$A60)&amp;"")</f>
        <v/>
      </c>
      <c r="N60" s="23">
        <f>IF($C60="","",INDEX(인턴근무계획!$P$3:$P$62,$A60)&amp;"")</f>
        <v/>
      </c>
      <c r="O60" s="23">
        <f>IF($C60="","",INDEX(인턴근무계획!$Q$3:$Q$62,$A60)&amp;"")</f>
        <v/>
      </c>
      <c r="P60" s="23">
        <f>IF($C60="","",INDEX(인턴근무계획!$R$3:$R$62,$A60)&amp;"")</f>
        <v/>
      </c>
      <c r="Q60" s="23">
        <f>IF($C60="","",INDEX(인턴근무계획!$T$3:$T$62,$A60))</f>
        <v/>
      </c>
    </row>
    <row r="61">
      <c r="A61" s="26" t="n">
        <v>56</v>
      </c>
      <c r="B61" s="23">
        <f>IF($C61="","",INDEX(인턴근무계획!$B$3:$B$62,$A61))</f>
        <v/>
      </c>
      <c r="C61" s="23">
        <f>IFERROR(TRIM(INDEX(인턴근무계획!$C$3:$C$62,$A61)&amp;""),"")</f>
        <v/>
      </c>
      <c r="D61" s="23">
        <f>IF($C61="","",INDEX(인턴근무계획!$D$3:$D$62,$A61))</f>
        <v/>
      </c>
      <c r="E61" s="23">
        <f>IF($C61="","",IF(IFERROR(MATCH($D61,기본자료!$B$2:$B$301,0),IFERROR(MATCH($D61&amp;"",기본자료!$B$2:$B$301,0),IFERROR(MATCH(VALUE($D61),기본자료!$B$2:$B$301,0),0)))&gt;0,"확인","미등록"))</f>
        <v/>
      </c>
      <c r="F61" s="27">
        <f>IF($C61="","",INDEX(인턴근무계획!$S$3:$S$62,$A61))</f>
        <v/>
      </c>
      <c r="G61" s="23">
        <f>IF(OR($C61="",$G$3=""),"",IF(INDEX(인턴근무계획!$M$3:$R$62,$A61,$G$3)&amp;""="","",IF(LEFT(INDEX(인턴근무계획!$M$3:$R$62,$A61,$G$3)&amp;"",1)="⚠",INDEX(인턴근무계획!$M$3:$R$62,$A61,$G$3)&amp;"",LEFT(INDEX(인턴근무계획!$M$3:$R$62,$A61,$G$3)&amp;"",FIND(" ",INDEX(인턴근무계획!$M$3:$R$62,$A61,$G$3)&amp;"")-1))))</f>
        <v/>
      </c>
      <c r="H61" s="23">
        <f>IF(OR($C61="",$G$3=""),"",IF(INDEX(인턴근무계획!$M$3:$R$62,$A61,$G$3)&amp;""="","",IF(LEFT(INDEX(인턴근무계획!$M$3:$R$62,$A61,$G$3)&amp;"",1)="⚠","",MID(INDEX(인턴근무계획!$M$3:$R$62,$A61,$G$3)&amp;"",FIND(" ",INDEX(인턴근무계획!$M$3:$R$62,$A61,$G$3)&amp;"")+1,60))))</f>
        <v/>
      </c>
      <c r="I61" s="23">
        <f>IF(OR($C61="",$I$3=""),"",IF(INDEX(인턴근무계획!$M$3:$R$62,$A61,$I$3)&amp;""="","",IF(LEFT(INDEX(인턴근무계획!$M$3:$R$62,$A61,$I$3)&amp;"",1)="⚠",INDEX(인턴근무계획!$M$3:$R$62,$A61,$I$3)&amp;"",LEFT(INDEX(인턴근무계획!$M$3:$R$62,$A61,$I$3)&amp;"",FIND(" ",INDEX(인턴근무계획!$M$3:$R$62,$A61,$I$3)&amp;"")-1))))</f>
        <v/>
      </c>
      <c r="J61" s="23">
        <f>IF(OR($C61="",$I$3=""),"",IF(INDEX(인턴근무계획!$M$3:$R$62,$A61,$I$3)&amp;""="","",IF(LEFT(INDEX(인턴근무계획!$M$3:$R$62,$A61,$I$3)&amp;"",1)="⚠","",MID(INDEX(인턴근무계획!$M$3:$R$62,$A61,$I$3)&amp;"",FIND(" ",INDEX(인턴근무계획!$M$3:$R$62,$A61,$I$3)&amp;"")+1,60))))</f>
        <v/>
      </c>
      <c r="K61" s="23">
        <f>IF($C61="","",INDEX(인턴근무계획!$M$3:$M$62,$A61)&amp;"")</f>
        <v/>
      </c>
      <c r="L61" s="23">
        <f>IF($C61="","",INDEX(인턴근무계획!$N$3:$N$62,$A61)&amp;"")</f>
        <v/>
      </c>
      <c r="M61" s="23">
        <f>IF($C61="","",INDEX(인턴근무계획!$O$3:$O$62,$A61)&amp;"")</f>
        <v/>
      </c>
      <c r="N61" s="23">
        <f>IF($C61="","",INDEX(인턴근무계획!$P$3:$P$62,$A61)&amp;"")</f>
        <v/>
      </c>
      <c r="O61" s="23">
        <f>IF($C61="","",INDEX(인턴근무계획!$Q$3:$Q$62,$A61)&amp;"")</f>
        <v/>
      </c>
      <c r="P61" s="23">
        <f>IF($C61="","",INDEX(인턴근무계획!$R$3:$R$62,$A61)&amp;"")</f>
        <v/>
      </c>
      <c r="Q61" s="23">
        <f>IF($C61="","",INDEX(인턴근무계획!$T$3:$T$62,$A61))</f>
        <v/>
      </c>
    </row>
    <row r="62">
      <c r="A62" s="26" t="n">
        <v>57</v>
      </c>
      <c r="B62" s="23">
        <f>IF($C62="","",INDEX(인턴근무계획!$B$3:$B$62,$A62))</f>
        <v/>
      </c>
      <c r="C62" s="23">
        <f>IFERROR(TRIM(INDEX(인턴근무계획!$C$3:$C$62,$A62)&amp;""),"")</f>
        <v/>
      </c>
      <c r="D62" s="23">
        <f>IF($C62="","",INDEX(인턴근무계획!$D$3:$D$62,$A62))</f>
        <v/>
      </c>
      <c r="E62" s="23">
        <f>IF($C62="","",IF(IFERROR(MATCH($D62,기본자료!$B$2:$B$301,0),IFERROR(MATCH($D62&amp;"",기본자료!$B$2:$B$301,0),IFERROR(MATCH(VALUE($D62),기본자료!$B$2:$B$301,0),0)))&gt;0,"확인","미등록"))</f>
        <v/>
      </c>
      <c r="F62" s="27">
        <f>IF($C62="","",INDEX(인턴근무계획!$S$3:$S$62,$A62))</f>
        <v/>
      </c>
      <c r="G62" s="23">
        <f>IF(OR($C62="",$G$3=""),"",IF(INDEX(인턴근무계획!$M$3:$R$62,$A62,$G$3)&amp;""="","",IF(LEFT(INDEX(인턴근무계획!$M$3:$R$62,$A62,$G$3)&amp;"",1)="⚠",INDEX(인턴근무계획!$M$3:$R$62,$A62,$G$3)&amp;"",LEFT(INDEX(인턴근무계획!$M$3:$R$62,$A62,$G$3)&amp;"",FIND(" ",INDEX(인턴근무계획!$M$3:$R$62,$A62,$G$3)&amp;"")-1))))</f>
        <v/>
      </c>
      <c r="H62" s="23">
        <f>IF(OR($C62="",$G$3=""),"",IF(INDEX(인턴근무계획!$M$3:$R$62,$A62,$G$3)&amp;""="","",IF(LEFT(INDEX(인턴근무계획!$M$3:$R$62,$A62,$G$3)&amp;"",1)="⚠","",MID(INDEX(인턴근무계획!$M$3:$R$62,$A62,$G$3)&amp;"",FIND(" ",INDEX(인턴근무계획!$M$3:$R$62,$A62,$G$3)&amp;"")+1,60))))</f>
        <v/>
      </c>
      <c r="I62" s="23">
        <f>IF(OR($C62="",$I$3=""),"",IF(INDEX(인턴근무계획!$M$3:$R$62,$A62,$I$3)&amp;""="","",IF(LEFT(INDEX(인턴근무계획!$M$3:$R$62,$A62,$I$3)&amp;"",1)="⚠",INDEX(인턴근무계획!$M$3:$R$62,$A62,$I$3)&amp;"",LEFT(INDEX(인턴근무계획!$M$3:$R$62,$A62,$I$3)&amp;"",FIND(" ",INDEX(인턴근무계획!$M$3:$R$62,$A62,$I$3)&amp;"")-1))))</f>
        <v/>
      </c>
      <c r="J62" s="23">
        <f>IF(OR($C62="",$I$3=""),"",IF(INDEX(인턴근무계획!$M$3:$R$62,$A62,$I$3)&amp;""="","",IF(LEFT(INDEX(인턴근무계획!$M$3:$R$62,$A62,$I$3)&amp;"",1)="⚠","",MID(INDEX(인턴근무계획!$M$3:$R$62,$A62,$I$3)&amp;"",FIND(" ",INDEX(인턴근무계획!$M$3:$R$62,$A62,$I$3)&amp;"")+1,60))))</f>
        <v/>
      </c>
      <c r="K62" s="23">
        <f>IF($C62="","",INDEX(인턴근무계획!$M$3:$M$62,$A62)&amp;"")</f>
        <v/>
      </c>
      <c r="L62" s="23">
        <f>IF($C62="","",INDEX(인턴근무계획!$N$3:$N$62,$A62)&amp;"")</f>
        <v/>
      </c>
      <c r="M62" s="23">
        <f>IF($C62="","",INDEX(인턴근무계획!$O$3:$O$62,$A62)&amp;"")</f>
        <v/>
      </c>
      <c r="N62" s="23">
        <f>IF($C62="","",INDEX(인턴근무계획!$P$3:$P$62,$A62)&amp;"")</f>
        <v/>
      </c>
      <c r="O62" s="23">
        <f>IF($C62="","",INDEX(인턴근무계획!$Q$3:$Q$62,$A62)&amp;"")</f>
        <v/>
      </c>
      <c r="P62" s="23">
        <f>IF($C62="","",INDEX(인턴근무계획!$R$3:$R$62,$A62)&amp;"")</f>
        <v/>
      </c>
      <c r="Q62" s="23">
        <f>IF($C62="","",INDEX(인턴근무계획!$T$3:$T$62,$A62))</f>
        <v/>
      </c>
    </row>
    <row r="63">
      <c r="A63" s="26" t="n">
        <v>58</v>
      </c>
      <c r="B63" s="23">
        <f>IF($C63="","",INDEX(인턴근무계획!$B$3:$B$62,$A63))</f>
        <v/>
      </c>
      <c r="C63" s="23">
        <f>IFERROR(TRIM(INDEX(인턴근무계획!$C$3:$C$62,$A63)&amp;""),"")</f>
        <v/>
      </c>
      <c r="D63" s="23">
        <f>IF($C63="","",INDEX(인턴근무계획!$D$3:$D$62,$A63))</f>
        <v/>
      </c>
      <c r="E63" s="23">
        <f>IF($C63="","",IF(IFERROR(MATCH($D63,기본자료!$B$2:$B$301,0),IFERROR(MATCH($D63&amp;"",기본자료!$B$2:$B$301,0),IFERROR(MATCH(VALUE($D63),기본자료!$B$2:$B$301,0),0)))&gt;0,"확인","미등록"))</f>
        <v/>
      </c>
      <c r="F63" s="27">
        <f>IF($C63="","",INDEX(인턴근무계획!$S$3:$S$62,$A63))</f>
        <v/>
      </c>
      <c r="G63" s="23">
        <f>IF(OR($C63="",$G$3=""),"",IF(INDEX(인턴근무계획!$M$3:$R$62,$A63,$G$3)&amp;""="","",IF(LEFT(INDEX(인턴근무계획!$M$3:$R$62,$A63,$G$3)&amp;"",1)="⚠",INDEX(인턴근무계획!$M$3:$R$62,$A63,$G$3)&amp;"",LEFT(INDEX(인턴근무계획!$M$3:$R$62,$A63,$G$3)&amp;"",FIND(" ",INDEX(인턴근무계획!$M$3:$R$62,$A63,$G$3)&amp;"")-1))))</f>
        <v/>
      </c>
      <c r="H63" s="23">
        <f>IF(OR($C63="",$G$3=""),"",IF(INDEX(인턴근무계획!$M$3:$R$62,$A63,$G$3)&amp;""="","",IF(LEFT(INDEX(인턴근무계획!$M$3:$R$62,$A63,$G$3)&amp;"",1)="⚠","",MID(INDEX(인턴근무계획!$M$3:$R$62,$A63,$G$3)&amp;"",FIND(" ",INDEX(인턴근무계획!$M$3:$R$62,$A63,$G$3)&amp;"")+1,60))))</f>
        <v/>
      </c>
      <c r="I63" s="23">
        <f>IF(OR($C63="",$I$3=""),"",IF(INDEX(인턴근무계획!$M$3:$R$62,$A63,$I$3)&amp;""="","",IF(LEFT(INDEX(인턴근무계획!$M$3:$R$62,$A63,$I$3)&amp;"",1)="⚠",INDEX(인턴근무계획!$M$3:$R$62,$A63,$I$3)&amp;"",LEFT(INDEX(인턴근무계획!$M$3:$R$62,$A63,$I$3)&amp;"",FIND(" ",INDEX(인턴근무계획!$M$3:$R$62,$A63,$I$3)&amp;"")-1))))</f>
        <v/>
      </c>
      <c r="J63" s="23">
        <f>IF(OR($C63="",$I$3=""),"",IF(INDEX(인턴근무계획!$M$3:$R$62,$A63,$I$3)&amp;""="","",IF(LEFT(INDEX(인턴근무계획!$M$3:$R$62,$A63,$I$3)&amp;"",1)="⚠","",MID(INDEX(인턴근무계획!$M$3:$R$62,$A63,$I$3)&amp;"",FIND(" ",INDEX(인턴근무계획!$M$3:$R$62,$A63,$I$3)&amp;"")+1,60))))</f>
        <v/>
      </c>
      <c r="K63" s="23">
        <f>IF($C63="","",INDEX(인턴근무계획!$M$3:$M$62,$A63)&amp;"")</f>
        <v/>
      </c>
      <c r="L63" s="23">
        <f>IF($C63="","",INDEX(인턴근무계획!$N$3:$N$62,$A63)&amp;"")</f>
        <v/>
      </c>
      <c r="M63" s="23">
        <f>IF($C63="","",INDEX(인턴근무계획!$O$3:$O$62,$A63)&amp;"")</f>
        <v/>
      </c>
      <c r="N63" s="23">
        <f>IF($C63="","",INDEX(인턴근무계획!$P$3:$P$62,$A63)&amp;"")</f>
        <v/>
      </c>
      <c r="O63" s="23">
        <f>IF($C63="","",INDEX(인턴근무계획!$Q$3:$Q$62,$A63)&amp;"")</f>
        <v/>
      </c>
      <c r="P63" s="23">
        <f>IF($C63="","",INDEX(인턴근무계획!$R$3:$R$62,$A63)&amp;"")</f>
        <v/>
      </c>
      <c r="Q63" s="23">
        <f>IF($C63="","",INDEX(인턴근무계획!$T$3:$T$62,$A63))</f>
        <v/>
      </c>
    </row>
    <row r="64">
      <c r="A64" s="26" t="n">
        <v>59</v>
      </c>
      <c r="B64" s="23">
        <f>IF($C64="","",INDEX(인턴근무계획!$B$3:$B$62,$A64))</f>
        <v/>
      </c>
      <c r="C64" s="23">
        <f>IFERROR(TRIM(INDEX(인턴근무계획!$C$3:$C$62,$A64)&amp;""),"")</f>
        <v/>
      </c>
      <c r="D64" s="23">
        <f>IF($C64="","",INDEX(인턴근무계획!$D$3:$D$62,$A64))</f>
        <v/>
      </c>
      <c r="E64" s="23">
        <f>IF($C64="","",IF(IFERROR(MATCH($D64,기본자료!$B$2:$B$301,0),IFERROR(MATCH($D64&amp;"",기본자료!$B$2:$B$301,0),IFERROR(MATCH(VALUE($D64),기본자료!$B$2:$B$301,0),0)))&gt;0,"확인","미등록"))</f>
        <v/>
      </c>
      <c r="F64" s="27">
        <f>IF($C64="","",INDEX(인턴근무계획!$S$3:$S$62,$A64))</f>
        <v/>
      </c>
      <c r="G64" s="23">
        <f>IF(OR($C64="",$G$3=""),"",IF(INDEX(인턴근무계획!$M$3:$R$62,$A64,$G$3)&amp;""="","",IF(LEFT(INDEX(인턴근무계획!$M$3:$R$62,$A64,$G$3)&amp;"",1)="⚠",INDEX(인턴근무계획!$M$3:$R$62,$A64,$G$3)&amp;"",LEFT(INDEX(인턴근무계획!$M$3:$R$62,$A64,$G$3)&amp;"",FIND(" ",INDEX(인턴근무계획!$M$3:$R$62,$A64,$G$3)&amp;"")-1))))</f>
        <v/>
      </c>
      <c r="H64" s="23">
        <f>IF(OR($C64="",$G$3=""),"",IF(INDEX(인턴근무계획!$M$3:$R$62,$A64,$G$3)&amp;""="","",IF(LEFT(INDEX(인턴근무계획!$M$3:$R$62,$A64,$G$3)&amp;"",1)="⚠","",MID(INDEX(인턴근무계획!$M$3:$R$62,$A64,$G$3)&amp;"",FIND(" ",INDEX(인턴근무계획!$M$3:$R$62,$A64,$G$3)&amp;"")+1,60))))</f>
        <v/>
      </c>
      <c r="I64" s="23">
        <f>IF(OR($C64="",$I$3=""),"",IF(INDEX(인턴근무계획!$M$3:$R$62,$A64,$I$3)&amp;""="","",IF(LEFT(INDEX(인턴근무계획!$M$3:$R$62,$A64,$I$3)&amp;"",1)="⚠",INDEX(인턴근무계획!$M$3:$R$62,$A64,$I$3)&amp;"",LEFT(INDEX(인턴근무계획!$M$3:$R$62,$A64,$I$3)&amp;"",FIND(" ",INDEX(인턴근무계획!$M$3:$R$62,$A64,$I$3)&amp;"")-1))))</f>
        <v/>
      </c>
      <c r="J64" s="23">
        <f>IF(OR($C64="",$I$3=""),"",IF(INDEX(인턴근무계획!$M$3:$R$62,$A64,$I$3)&amp;""="","",IF(LEFT(INDEX(인턴근무계획!$M$3:$R$62,$A64,$I$3)&amp;"",1)="⚠","",MID(INDEX(인턴근무계획!$M$3:$R$62,$A64,$I$3)&amp;"",FIND(" ",INDEX(인턴근무계획!$M$3:$R$62,$A64,$I$3)&amp;"")+1,60))))</f>
        <v/>
      </c>
      <c r="K64" s="23">
        <f>IF($C64="","",INDEX(인턴근무계획!$M$3:$M$62,$A64)&amp;"")</f>
        <v/>
      </c>
      <c r="L64" s="23">
        <f>IF($C64="","",INDEX(인턴근무계획!$N$3:$N$62,$A64)&amp;"")</f>
        <v/>
      </c>
      <c r="M64" s="23">
        <f>IF($C64="","",INDEX(인턴근무계획!$O$3:$O$62,$A64)&amp;"")</f>
        <v/>
      </c>
      <c r="N64" s="23">
        <f>IF($C64="","",INDEX(인턴근무계획!$P$3:$P$62,$A64)&amp;"")</f>
        <v/>
      </c>
      <c r="O64" s="23">
        <f>IF($C64="","",INDEX(인턴근무계획!$Q$3:$Q$62,$A64)&amp;"")</f>
        <v/>
      </c>
      <c r="P64" s="23">
        <f>IF($C64="","",INDEX(인턴근무계획!$R$3:$R$62,$A64)&amp;"")</f>
        <v/>
      </c>
      <c r="Q64" s="23">
        <f>IF($C64="","",INDEX(인턴근무계획!$T$3:$T$62,$A64))</f>
        <v/>
      </c>
    </row>
    <row r="65">
      <c r="A65" s="26" t="n">
        <v>60</v>
      </c>
      <c r="B65" s="23">
        <f>IF($C65="","",INDEX(인턴근무계획!$B$3:$B$62,$A65))</f>
        <v/>
      </c>
      <c r="C65" s="23">
        <f>IFERROR(TRIM(INDEX(인턴근무계획!$C$3:$C$62,$A65)&amp;""),"")</f>
        <v/>
      </c>
      <c r="D65" s="23">
        <f>IF($C65="","",INDEX(인턴근무계획!$D$3:$D$62,$A65))</f>
        <v/>
      </c>
      <c r="E65" s="23">
        <f>IF($C65="","",IF(IFERROR(MATCH($D65,기본자료!$B$2:$B$301,0),IFERROR(MATCH($D65&amp;"",기본자료!$B$2:$B$301,0),IFERROR(MATCH(VALUE($D65),기본자료!$B$2:$B$301,0),0)))&gt;0,"확인","미등록"))</f>
        <v/>
      </c>
      <c r="F65" s="27">
        <f>IF($C65="","",INDEX(인턴근무계획!$S$3:$S$62,$A65))</f>
        <v/>
      </c>
      <c r="G65" s="23">
        <f>IF(OR($C65="",$G$3=""),"",IF(INDEX(인턴근무계획!$M$3:$R$62,$A65,$G$3)&amp;""="","",IF(LEFT(INDEX(인턴근무계획!$M$3:$R$62,$A65,$G$3)&amp;"",1)="⚠",INDEX(인턴근무계획!$M$3:$R$62,$A65,$G$3)&amp;"",LEFT(INDEX(인턴근무계획!$M$3:$R$62,$A65,$G$3)&amp;"",FIND(" ",INDEX(인턴근무계획!$M$3:$R$62,$A65,$G$3)&amp;"")-1))))</f>
        <v/>
      </c>
      <c r="H65" s="23">
        <f>IF(OR($C65="",$G$3=""),"",IF(INDEX(인턴근무계획!$M$3:$R$62,$A65,$G$3)&amp;""="","",IF(LEFT(INDEX(인턴근무계획!$M$3:$R$62,$A65,$G$3)&amp;"",1)="⚠","",MID(INDEX(인턴근무계획!$M$3:$R$62,$A65,$G$3)&amp;"",FIND(" ",INDEX(인턴근무계획!$M$3:$R$62,$A65,$G$3)&amp;"")+1,60))))</f>
        <v/>
      </c>
      <c r="I65" s="23">
        <f>IF(OR($C65="",$I$3=""),"",IF(INDEX(인턴근무계획!$M$3:$R$62,$A65,$I$3)&amp;""="","",IF(LEFT(INDEX(인턴근무계획!$M$3:$R$62,$A65,$I$3)&amp;"",1)="⚠",INDEX(인턴근무계획!$M$3:$R$62,$A65,$I$3)&amp;"",LEFT(INDEX(인턴근무계획!$M$3:$R$62,$A65,$I$3)&amp;"",FIND(" ",INDEX(인턴근무계획!$M$3:$R$62,$A65,$I$3)&amp;"")-1))))</f>
        <v/>
      </c>
      <c r="J65" s="23">
        <f>IF(OR($C65="",$I$3=""),"",IF(INDEX(인턴근무계획!$M$3:$R$62,$A65,$I$3)&amp;""="","",IF(LEFT(INDEX(인턴근무계획!$M$3:$R$62,$A65,$I$3)&amp;"",1)="⚠","",MID(INDEX(인턴근무계획!$M$3:$R$62,$A65,$I$3)&amp;"",FIND(" ",INDEX(인턴근무계획!$M$3:$R$62,$A65,$I$3)&amp;"")+1,60))))</f>
        <v/>
      </c>
      <c r="K65" s="23">
        <f>IF($C65="","",INDEX(인턴근무계획!$M$3:$M$62,$A65)&amp;"")</f>
        <v/>
      </c>
      <c r="L65" s="23">
        <f>IF($C65="","",INDEX(인턴근무계획!$N$3:$N$62,$A65)&amp;"")</f>
        <v/>
      </c>
      <c r="M65" s="23">
        <f>IF($C65="","",INDEX(인턴근무계획!$O$3:$O$62,$A65)&amp;"")</f>
        <v/>
      </c>
      <c r="N65" s="23">
        <f>IF($C65="","",INDEX(인턴근무계획!$P$3:$P$62,$A65)&amp;"")</f>
        <v/>
      </c>
      <c r="O65" s="23">
        <f>IF($C65="","",INDEX(인턴근무계획!$Q$3:$Q$62,$A65)&amp;"")</f>
        <v/>
      </c>
      <c r="P65" s="23">
        <f>IF($C65="","",INDEX(인턴근무계획!$R$3:$R$62,$A65)&amp;"")</f>
        <v/>
      </c>
      <c r="Q65" s="23">
        <f>IF($C65="","",INDEX(인턴근무계획!$T$3:$T$62,$A65))</f>
        <v/>
      </c>
    </row>
  </sheetData>
  <autoFilter ref="A5:Q65"/>
  <conditionalFormatting sqref="E6:E65">
    <cfRule type="expression" priority="1" dxfId="0">
      <formula>$E6="미등록"</formula>
    </cfRule>
  </conditionalFormatting>
  <conditionalFormatting sqref="K6:P65">
    <cfRule type="expression" priority="2" dxfId="1">
      <formula>LEFT(K6,1)="⚠"</formula>
    </cfRule>
  </conditionalFormatting>
  <conditionalFormatting sqref="K5:P65">
    <cfRule type="expression" priority="3" dxfId="12">
      <formula>K$3=MONTH(TODAY())</formula>
    </cfRule>
  </conditionalFormatting>
  <conditionalFormatting sqref="G6:H65">
    <cfRule type="expression" priority="4" dxfId="12">
      <formula>$G$3&lt;&gt;""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3" customWidth="1" min="5" max="5"/>
    <col width="20" customWidth="1" min="6" max="6"/>
    <col width="20" customWidth="1" min="7" max="7"/>
    <col width="3" customWidth="1" min="8" max="8"/>
    <col width="3" customWidth="1" min="9" max="9"/>
    <col width="20" customWidth="1" min="10" max="10"/>
    <col width="20" customWidth="1" min="11" max="11"/>
    <col width="3" customWidth="1" min="12" max="12"/>
  </cols>
  <sheetData>
    <row r="1" ht="30" customHeight="1">
      <c r="A1" s="12" t="inlineStr">
        <is>
          <t>병원</t>
        </is>
      </c>
      <c r="B1" s="12" t="inlineStr">
        <is>
          <t>근무과(진료과)</t>
        </is>
      </c>
      <c r="C1" s="12" t="inlineStr">
        <is>
          <t>파견근거(종류)</t>
        </is>
      </c>
      <c r="D1" s="12" t="inlineStr">
        <is>
          <t>인턴 전용 구분</t>
        </is>
      </c>
      <c r="F1" s="12" t="inlineStr">
        <is>
          <t>진료과 약칭</t>
        </is>
      </c>
      <c r="G1" s="12" t="inlineStr">
        <is>
          <t>정식 명칭</t>
        </is>
      </c>
      <c r="J1" s="12" t="inlineStr">
        <is>
          <t>병원 표기(약칭·기관명)</t>
        </is>
      </c>
      <c r="K1" s="12" t="inlineStr">
        <is>
          <t>정식 병원</t>
        </is>
      </c>
      <c r="M1" s="2" t="inlineStr">
        <is>
          <t>※ 파란 글씨 칸은 모두 수정·추가할 수 있습니다. 새 병원/진료과가 생기면 여기에 먼저 추가하세요.</t>
        </is>
      </c>
    </row>
    <row r="2">
      <c r="A2" s="5" t="inlineStr">
        <is>
          <t>서울병원</t>
        </is>
      </c>
      <c r="B2" s="5" t="inlineStr">
        <is>
          <t>내과</t>
        </is>
      </c>
      <c r="C2" s="5" t="inlineStr">
        <is>
          <t>모자</t>
        </is>
      </c>
      <c r="D2" s="5" t="inlineStr">
        <is>
          <t>통합</t>
        </is>
      </c>
      <c r="F2" s="5" t="inlineStr">
        <is>
          <t>내과</t>
        </is>
      </c>
      <c r="G2" s="5" t="inlineStr">
        <is>
          <t>내과</t>
        </is>
      </c>
      <c r="J2" s="5" t="inlineStr">
        <is>
          <t>서울병원</t>
        </is>
      </c>
      <c r="K2" s="5" t="inlineStr">
        <is>
          <t>서울병원</t>
        </is>
      </c>
      <c r="M2" s="2" t="inlineStr">
        <is>
          <t>※ 병원 표기(J→K): 인턴근무계획의 지역 단어와 파견수련계획의 모병원명·파견병원은 이 표로 정식 병원(A열)으로 바뀝니다.</t>
        </is>
      </c>
    </row>
    <row r="3">
      <c r="A3" s="5" t="inlineStr">
        <is>
          <t>인천병원</t>
        </is>
      </c>
      <c r="B3" s="5" t="inlineStr">
        <is>
          <t>소아청소년과</t>
        </is>
      </c>
      <c r="C3" s="5" t="inlineStr">
        <is>
          <t>통합수련</t>
        </is>
      </c>
      <c r="D3" s="5" t="inlineStr">
        <is>
          <t>핵/방</t>
        </is>
      </c>
      <c r="F3" s="5" t="inlineStr">
        <is>
          <t>소아청소년과</t>
        </is>
      </c>
      <c r="G3" s="5" t="inlineStr">
        <is>
          <t>소아청소년과</t>
        </is>
      </c>
      <c r="J3" s="5" t="inlineStr">
        <is>
          <t>인천병원</t>
        </is>
      </c>
      <c r="K3" s="5" t="inlineStr">
        <is>
          <t>인천병원</t>
        </is>
      </c>
      <c r="M3" s="2" t="inlineStr">
        <is>
          <t xml:space="preserve">   (예: 한양대학교병원→서울병원, 한양대구리병원→구리병원, '제주 에스중앙 내과'의 '제주'→제주병원). 인천·창원·오산 등 실제 기관명은 J·K열에 추가하세요.</t>
        </is>
      </c>
    </row>
    <row r="4">
      <c r="A4" s="5" t="inlineStr">
        <is>
          <t>구리병원</t>
        </is>
      </c>
      <c r="B4" s="5" t="inlineStr">
        <is>
          <t>신경과</t>
        </is>
      </c>
      <c r="C4" s="5" t="inlineStr">
        <is>
          <t>다기관</t>
        </is>
      </c>
      <c r="D4" s="5" t="n"/>
      <c r="F4" s="5" t="inlineStr">
        <is>
          <t>신경과</t>
        </is>
      </c>
      <c r="G4" s="5" t="inlineStr">
        <is>
          <t>신경과</t>
        </is>
      </c>
      <c r="J4" s="5" t="inlineStr">
        <is>
          <t>구리병원</t>
        </is>
      </c>
      <c r="K4" s="5" t="inlineStr">
        <is>
          <t>구리병원</t>
        </is>
      </c>
      <c r="M4" s="2" t="inlineStr">
        <is>
          <t>※ 진료과 약칭(F→G): 인턴근무계획 월 칸의 마지막 단어와 파견수련계획의 파견과목을 정식 명칭으로 바꿉니다. (예: 산부→산부인과)</t>
        </is>
      </c>
    </row>
    <row r="5">
      <c r="A5" s="5" t="inlineStr">
        <is>
          <t>창원병원</t>
        </is>
      </c>
      <c r="B5" s="5" t="inlineStr">
        <is>
          <t>정신건강의학과</t>
        </is>
      </c>
      <c r="C5" s="5" t="n"/>
      <c r="D5" s="5" t="n"/>
      <c r="F5" s="5" t="inlineStr">
        <is>
          <t>정신건강의학과</t>
        </is>
      </c>
      <c r="G5" s="5" t="inlineStr">
        <is>
          <t>정신건강의학과</t>
        </is>
      </c>
      <c r="J5" s="5" t="inlineStr">
        <is>
          <t>창원병원</t>
        </is>
      </c>
      <c r="K5" s="5" t="inlineStr">
        <is>
          <t>창원병원</t>
        </is>
      </c>
      <c r="M5" s="2" t="inlineStr">
        <is>
          <t>※ 파견근거(C열): 양식의 모자 / 통합수련, 그리고 다기관. 새 값이 있으면 추가하세요.</t>
        </is>
      </c>
    </row>
    <row r="6">
      <c r="A6" s="5" t="inlineStr">
        <is>
          <t>제주병원</t>
        </is>
      </c>
      <c r="B6" s="5" t="inlineStr">
        <is>
          <t>피부과</t>
        </is>
      </c>
      <c r="C6" s="5" t="n"/>
      <c r="D6" s="5" t="n"/>
      <c r="F6" s="5" t="inlineStr">
        <is>
          <t>피부과</t>
        </is>
      </c>
      <c r="G6" s="5" t="inlineStr">
        <is>
          <t>피부과</t>
        </is>
      </c>
      <c r="J6" s="5" t="inlineStr">
        <is>
          <t>제주병원</t>
        </is>
      </c>
      <c r="K6" s="5" t="inlineStr">
        <is>
          <t>제주병원</t>
        </is>
      </c>
    </row>
    <row r="7">
      <c r="A7" s="5" t="inlineStr">
        <is>
          <t>오산병원</t>
        </is>
      </c>
      <c r="B7" s="5" t="inlineStr">
        <is>
          <t>외과</t>
        </is>
      </c>
      <c r="C7" s="5" t="n"/>
      <c r="F7" s="5" t="inlineStr">
        <is>
          <t>외과</t>
        </is>
      </c>
      <c r="G7" s="5" t="inlineStr">
        <is>
          <t>외과</t>
        </is>
      </c>
      <c r="J7" s="5" t="inlineStr">
        <is>
          <t>오산병원</t>
        </is>
      </c>
      <c r="K7" s="5" t="inlineStr">
        <is>
          <t>오산병원</t>
        </is>
      </c>
    </row>
    <row r="8">
      <c r="A8" s="5" t="n"/>
      <c r="B8" s="5" t="inlineStr">
        <is>
          <t>심장혈관흉부외과</t>
        </is>
      </c>
      <c r="C8" s="5" t="n"/>
      <c r="F8" s="5" t="inlineStr">
        <is>
          <t>심장혈관흉부외과</t>
        </is>
      </c>
      <c r="G8" s="5" t="inlineStr">
        <is>
          <t>심장혈관흉부외과</t>
        </is>
      </c>
      <c r="J8" s="5" t="inlineStr">
        <is>
          <t>서울</t>
        </is>
      </c>
      <c r="K8" s="5" t="inlineStr">
        <is>
          <t>서울병원</t>
        </is>
      </c>
    </row>
    <row r="9">
      <c r="A9" s="5" t="n"/>
      <c r="B9" s="5" t="inlineStr">
        <is>
          <t>정형외과</t>
        </is>
      </c>
      <c r="C9" s="5" t="n"/>
      <c r="F9" s="5" t="inlineStr">
        <is>
          <t>정형외과</t>
        </is>
      </c>
      <c r="G9" s="5" t="inlineStr">
        <is>
          <t>정형외과</t>
        </is>
      </c>
      <c r="J9" s="5" t="inlineStr">
        <is>
          <t>인천</t>
        </is>
      </c>
      <c r="K9" s="5" t="inlineStr">
        <is>
          <t>인천병원</t>
        </is>
      </c>
    </row>
    <row r="10">
      <c r="A10" s="5" t="n"/>
      <c r="B10" s="5" t="inlineStr">
        <is>
          <t>신경외과</t>
        </is>
      </c>
      <c r="C10" s="5" t="n"/>
      <c r="F10" s="5" t="inlineStr">
        <is>
          <t>신경외과</t>
        </is>
      </c>
      <c r="G10" s="5" t="inlineStr">
        <is>
          <t>신경외과</t>
        </is>
      </c>
      <c r="J10" s="5" t="inlineStr">
        <is>
          <t>구리</t>
        </is>
      </c>
      <c r="K10" s="5" t="inlineStr">
        <is>
          <t>구리병원</t>
        </is>
      </c>
    </row>
    <row r="11">
      <c r="A11" s="5" t="n"/>
      <c r="B11" s="5" t="inlineStr">
        <is>
          <t>성형외과</t>
        </is>
      </c>
      <c r="C11" s="5" t="n"/>
      <c r="F11" s="5" t="inlineStr">
        <is>
          <t>성형외과</t>
        </is>
      </c>
      <c r="G11" s="5" t="inlineStr">
        <is>
          <t>성형외과</t>
        </is>
      </c>
      <c r="J11" s="5" t="inlineStr">
        <is>
          <t>창원</t>
        </is>
      </c>
      <c r="K11" s="5" t="inlineStr">
        <is>
          <t>창원병원</t>
        </is>
      </c>
    </row>
    <row r="12">
      <c r="A12" s="5" t="n"/>
      <c r="B12" s="5" t="inlineStr">
        <is>
          <t>산부인과</t>
        </is>
      </c>
      <c r="F12" s="5" t="inlineStr">
        <is>
          <t>산부인과</t>
        </is>
      </c>
      <c r="G12" s="5" t="inlineStr">
        <is>
          <t>산부인과</t>
        </is>
      </c>
      <c r="J12" s="5" t="inlineStr">
        <is>
          <t>제주</t>
        </is>
      </c>
      <c r="K12" s="5" t="inlineStr">
        <is>
          <t>제주병원</t>
        </is>
      </c>
    </row>
    <row r="13">
      <c r="A13" s="5" t="n"/>
      <c r="B13" s="5" t="inlineStr">
        <is>
          <t>안과</t>
        </is>
      </c>
      <c r="F13" s="5" t="inlineStr">
        <is>
          <t>안과</t>
        </is>
      </c>
      <c r="G13" s="5" t="inlineStr">
        <is>
          <t>안과</t>
        </is>
      </c>
      <c r="J13" s="5" t="inlineStr">
        <is>
          <t>오산</t>
        </is>
      </c>
      <c r="K13" s="5" t="inlineStr">
        <is>
          <t>오산병원</t>
        </is>
      </c>
    </row>
    <row r="14">
      <c r="A14" s="5" t="n"/>
      <c r="B14" s="5" t="inlineStr">
        <is>
          <t>이비인후과</t>
        </is>
      </c>
      <c r="F14" s="5" t="inlineStr">
        <is>
          <t>이비인후과</t>
        </is>
      </c>
      <c r="G14" s="5" t="inlineStr">
        <is>
          <t>이비인후과</t>
        </is>
      </c>
      <c r="J14" s="5" t="inlineStr">
        <is>
          <t>한양대학교병원</t>
        </is>
      </c>
      <c r="K14" s="5" t="inlineStr">
        <is>
          <t>서울병원</t>
        </is>
      </c>
    </row>
    <row r="15">
      <c r="A15" s="5" t="n"/>
      <c r="B15" s="5" t="inlineStr">
        <is>
          <t>비뇨의학과</t>
        </is>
      </c>
      <c r="F15" s="5" t="inlineStr">
        <is>
          <t>비뇨의학과</t>
        </is>
      </c>
      <c r="G15" s="5" t="inlineStr">
        <is>
          <t>비뇨의학과</t>
        </is>
      </c>
      <c r="J15" s="5" t="inlineStr">
        <is>
          <t>한양대병원</t>
        </is>
      </c>
      <c r="K15" s="5" t="inlineStr">
        <is>
          <t>서울병원</t>
        </is>
      </c>
    </row>
    <row r="16">
      <c r="A16" s="5" t="n"/>
      <c r="B16" s="5" t="inlineStr">
        <is>
          <t>재활의학과</t>
        </is>
      </c>
      <c r="F16" s="5" t="inlineStr">
        <is>
          <t>재활의학과</t>
        </is>
      </c>
      <c r="G16" s="5" t="inlineStr">
        <is>
          <t>재활의학과</t>
        </is>
      </c>
      <c r="J16" s="5" t="inlineStr">
        <is>
          <t>한양대서울병원</t>
        </is>
      </c>
      <c r="K16" s="5" t="inlineStr">
        <is>
          <t>서울병원</t>
        </is>
      </c>
    </row>
    <row r="17">
      <c r="A17" s="5" t="n"/>
      <c r="B17" s="5" t="inlineStr">
        <is>
          <t>마취통증의학과</t>
        </is>
      </c>
      <c r="F17" s="5" t="inlineStr">
        <is>
          <t>마취통증의학과</t>
        </is>
      </c>
      <c r="G17" s="5" t="inlineStr">
        <is>
          <t>마취통증의학과</t>
        </is>
      </c>
      <c r="J17" s="5" t="inlineStr">
        <is>
          <t>한양대구리병원</t>
        </is>
      </c>
      <c r="K17" s="5" t="inlineStr">
        <is>
          <t>구리병원</t>
        </is>
      </c>
    </row>
    <row r="18">
      <c r="A18" s="5" t="n"/>
      <c r="B18" s="5" t="inlineStr">
        <is>
          <t>영상의학과</t>
        </is>
      </c>
      <c r="F18" s="5" t="inlineStr">
        <is>
          <t>영상의학과</t>
        </is>
      </c>
      <c r="G18" s="5" t="inlineStr">
        <is>
          <t>영상의학과</t>
        </is>
      </c>
      <c r="J18" s="5" t="inlineStr">
        <is>
          <t>에스중앙병원</t>
        </is>
      </c>
      <c r="K18" s="5" t="inlineStr">
        <is>
          <t>제주병원</t>
        </is>
      </c>
    </row>
    <row r="19">
      <c r="A19" s="5" t="n"/>
      <c r="B19" s="5" t="inlineStr">
        <is>
          <t>진단검사의학과</t>
        </is>
      </c>
      <c r="F19" s="5" t="inlineStr">
        <is>
          <t>진단검사의학과</t>
        </is>
      </c>
      <c r="G19" s="5" t="inlineStr">
        <is>
          <t>진단검사의학과</t>
        </is>
      </c>
      <c r="J19" s="5" t="inlineStr">
        <is>
          <t>에스중앙</t>
        </is>
      </c>
      <c r="K19" s="5" t="inlineStr">
        <is>
          <t>제주병원</t>
        </is>
      </c>
    </row>
    <row r="20">
      <c r="A20" s="5" t="n"/>
      <c r="B20" s="5" t="inlineStr">
        <is>
          <t>병리과</t>
        </is>
      </c>
      <c r="F20" s="5" t="inlineStr">
        <is>
          <t>병리과</t>
        </is>
      </c>
      <c r="G20" s="5" t="inlineStr">
        <is>
          <t>병리과</t>
        </is>
      </c>
      <c r="J20" s="5" t="n"/>
      <c r="K20" s="5" t="n"/>
    </row>
    <row r="21">
      <c r="A21" s="5" t="n"/>
      <c r="B21" s="5" t="inlineStr">
        <is>
          <t>가정의학과</t>
        </is>
      </c>
      <c r="F21" s="5" t="inlineStr">
        <is>
          <t>가정의학과</t>
        </is>
      </c>
      <c r="G21" s="5" t="inlineStr">
        <is>
          <t>가정의학과</t>
        </is>
      </c>
      <c r="J21" s="5" t="n"/>
      <c r="K21" s="5" t="n"/>
    </row>
    <row r="22">
      <c r="B22" s="5" t="inlineStr">
        <is>
          <t>응급의학과</t>
        </is>
      </c>
      <c r="F22" s="5" t="inlineStr">
        <is>
          <t>응급의학과</t>
        </is>
      </c>
      <c r="G22" s="5" t="inlineStr">
        <is>
          <t>응급의학과</t>
        </is>
      </c>
      <c r="J22" s="5" t="n"/>
      <c r="K22" s="5" t="n"/>
    </row>
    <row r="23">
      <c r="B23" s="5" t="inlineStr">
        <is>
          <t>핵의학과</t>
        </is>
      </c>
      <c r="F23" s="5" t="inlineStr">
        <is>
          <t>핵의학과</t>
        </is>
      </c>
      <c r="G23" s="5" t="inlineStr">
        <is>
          <t>핵의학과</t>
        </is>
      </c>
      <c r="J23" s="5" t="n"/>
      <c r="K23" s="5" t="n"/>
    </row>
    <row r="24">
      <c r="B24" s="5" t="inlineStr">
        <is>
          <t>직업환경의학과</t>
        </is>
      </c>
      <c r="F24" s="5" t="inlineStr">
        <is>
          <t>직업환경의학과</t>
        </is>
      </c>
      <c r="G24" s="5" t="inlineStr">
        <is>
          <t>직업환경의학과</t>
        </is>
      </c>
      <c r="J24" s="5" t="n"/>
      <c r="K24" s="5" t="n"/>
    </row>
    <row r="25">
      <c r="B25" s="5" t="inlineStr">
        <is>
          <t>수련교육부(인턴)</t>
        </is>
      </c>
      <c r="F25" s="5" t="inlineStr">
        <is>
          <t>수련교육부(인턴)</t>
        </is>
      </c>
      <c r="G25" s="5" t="inlineStr">
        <is>
          <t>수련교육부(인턴)</t>
        </is>
      </c>
      <c r="J25" s="5" t="n"/>
      <c r="K25" s="5" t="n"/>
    </row>
    <row r="26">
      <c r="B26" s="5" t="n"/>
      <c r="F26" s="5" t="inlineStr">
        <is>
          <t>소아과</t>
        </is>
      </c>
      <c r="G26" s="5" t="inlineStr">
        <is>
          <t>소아청소년과</t>
        </is>
      </c>
      <c r="J26" s="5" t="n"/>
      <c r="K26" s="5" t="n"/>
    </row>
    <row r="27">
      <c r="B27" s="5" t="n"/>
      <c r="F27" s="5" t="inlineStr">
        <is>
          <t>소청</t>
        </is>
      </c>
      <c r="G27" s="5" t="inlineStr">
        <is>
          <t>소아청소년과</t>
        </is>
      </c>
      <c r="J27" s="5" t="n"/>
      <c r="K27" s="5" t="n"/>
    </row>
    <row r="28">
      <c r="B28" s="5" t="n"/>
      <c r="F28" s="5" t="inlineStr">
        <is>
          <t>소청과</t>
        </is>
      </c>
      <c r="G28" s="5" t="inlineStr">
        <is>
          <t>소아청소년과</t>
        </is>
      </c>
      <c r="J28" s="5" t="n"/>
      <c r="K28" s="5" t="n"/>
    </row>
    <row r="29">
      <c r="B29" s="5" t="n"/>
      <c r="F29" s="5" t="inlineStr">
        <is>
          <t>정신과</t>
        </is>
      </c>
      <c r="G29" s="5" t="inlineStr">
        <is>
          <t>정신건강의학과</t>
        </is>
      </c>
      <c r="J29" s="5" t="n"/>
      <c r="K29" s="5" t="n"/>
    </row>
    <row r="30">
      <c r="B30" s="5" t="n"/>
      <c r="F30" s="5" t="inlineStr">
        <is>
          <t>정신</t>
        </is>
      </c>
      <c r="G30" s="5" t="inlineStr">
        <is>
          <t>정신건강의학과</t>
        </is>
      </c>
      <c r="J30" s="5" t="n"/>
      <c r="K30" s="5" t="n"/>
    </row>
    <row r="31">
      <c r="B31" s="5" t="n"/>
      <c r="F31" s="5" t="inlineStr">
        <is>
          <t>흉부외과</t>
        </is>
      </c>
      <c r="G31" s="5" t="inlineStr">
        <is>
          <t>심장혈관흉부외과</t>
        </is>
      </c>
      <c r="J31" s="5" t="n"/>
      <c r="K31" s="5" t="n"/>
    </row>
    <row r="32">
      <c r="B32" s="5" t="n"/>
      <c r="F32" s="5" t="inlineStr">
        <is>
          <t>흉외</t>
        </is>
      </c>
      <c r="G32" s="5" t="inlineStr">
        <is>
          <t>심장혈관흉부외과</t>
        </is>
      </c>
      <c r="J32" s="5" t="n"/>
      <c r="K32" s="5" t="n"/>
    </row>
    <row r="33">
      <c r="B33" s="5" t="n"/>
      <c r="F33" s="5" t="inlineStr">
        <is>
          <t>심장혈관흉부</t>
        </is>
      </c>
      <c r="G33" s="5" t="inlineStr">
        <is>
          <t>심장혈관흉부외과</t>
        </is>
      </c>
      <c r="J33" s="5" t="n"/>
      <c r="K33" s="5" t="n"/>
    </row>
    <row r="34">
      <c r="B34" s="5" t="n"/>
      <c r="F34" s="5" t="inlineStr">
        <is>
          <t>정형</t>
        </is>
      </c>
      <c r="G34" s="5" t="inlineStr">
        <is>
          <t>정형외과</t>
        </is>
      </c>
      <c r="J34" s="5" t="n"/>
      <c r="K34" s="5" t="n"/>
    </row>
    <row r="35">
      <c r="B35" s="5" t="n"/>
      <c r="F35" s="5" t="inlineStr">
        <is>
          <t>신외</t>
        </is>
      </c>
      <c r="G35" s="5" t="inlineStr">
        <is>
          <t>신경외과</t>
        </is>
      </c>
      <c r="J35" s="5" t="n"/>
      <c r="K35" s="5" t="n"/>
    </row>
    <row r="36">
      <c r="B36" s="5" t="n"/>
      <c r="F36" s="5" t="inlineStr">
        <is>
          <t>성형</t>
        </is>
      </c>
      <c r="G36" s="5" t="inlineStr">
        <is>
          <t>성형외과</t>
        </is>
      </c>
      <c r="J36" s="5" t="n"/>
      <c r="K36" s="5" t="n"/>
    </row>
    <row r="37">
      <c r="B37" s="5" t="n"/>
      <c r="F37" s="5" t="inlineStr">
        <is>
          <t>산부</t>
        </is>
      </c>
      <c r="G37" s="5" t="inlineStr">
        <is>
          <t>산부인과</t>
        </is>
      </c>
      <c r="J37" s="5" t="n"/>
      <c r="K37" s="5" t="n"/>
    </row>
    <row r="38">
      <c r="B38" s="5" t="n"/>
      <c r="F38" s="5" t="inlineStr">
        <is>
          <t>이비</t>
        </is>
      </c>
      <c r="G38" s="5" t="inlineStr">
        <is>
          <t>이비인후과</t>
        </is>
      </c>
      <c r="J38" s="5" t="n"/>
      <c r="K38" s="5" t="n"/>
    </row>
    <row r="39">
      <c r="B39" s="5" t="n"/>
      <c r="F39" s="5" t="inlineStr">
        <is>
          <t>이비인후</t>
        </is>
      </c>
      <c r="G39" s="5" t="inlineStr">
        <is>
          <t>이비인후과</t>
        </is>
      </c>
      <c r="J39" s="5" t="n"/>
      <c r="K39" s="5" t="n"/>
    </row>
    <row r="40">
      <c r="B40" s="5" t="n"/>
      <c r="F40" s="5" t="inlineStr">
        <is>
          <t>비뇨</t>
        </is>
      </c>
      <c r="G40" s="5" t="inlineStr">
        <is>
          <t>비뇨의학과</t>
        </is>
      </c>
      <c r="J40" s="5" t="n"/>
      <c r="K40" s="5" t="n"/>
    </row>
    <row r="41">
      <c r="B41" s="5" t="n"/>
      <c r="F41" s="5" t="inlineStr">
        <is>
          <t>비뇨기과</t>
        </is>
      </c>
      <c r="G41" s="5" t="inlineStr">
        <is>
          <t>비뇨의학과</t>
        </is>
      </c>
      <c r="J41" s="5" t="n"/>
      <c r="K41" s="5" t="n"/>
    </row>
    <row r="42">
      <c r="F42" s="5" t="inlineStr">
        <is>
          <t>재활</t>
        </is>
      </c>
      <c r="G42" s="5" t="inlineStr">
        <is>
          <t>재활의학과</t>
        </is>
      </c>
      <c r="J42" s="5" t="n"/>
      <c r="K42" s="5" t="n"/>
    </row>
    <row r="43">
      <c r="F43" s="5" t="inlineStr">
        <is>
          <t>마취</t>
        </is>
      </c>
      <c r="G43" s="5" t="inlineStr">
        <is>
          <t>마취통증의학과</t>
        </is>
      </c>
      <c r="J43" s="5" t="n"/>
      <c r="K43" s="5" t="n"/>
    </row>
    <row r="44">
      <c r="F44" s="5" t="inlineStr">
        <is>
          <t>마통</t>
        </is>
      </c>
      <c r="G44" s="5" t="inlineStr">
        <is>
          <t>마취통증의학과</t>
        </is>
      </c>
      <c r="J44" s="5" t="n"/>
      <c r="K44" s="5" t="n"/>
    </row>
    <row r="45">
      <c r="F45" s="5" t="inlineStr">
        <is>
          <t>영상</t>
        </is>
      </c>
      <c r="G45" s="5" t="inlineStr">
        <is>
          <t>영상의학과</t>
        </is>
      </c>
      <c r="J45" s="5" t="n"/>
      <c r="K45" s="5" t="n"/>
    </row>
    <row r="46">
      <c r="F46" s="5" t="inlineStr">
        <is>
          <t>진검</t>
        </is>
      </c>
      <c r="G46" s="5" t="inlineStr">
        <is>
          <t>진단검사의학과</t>
        </is>
      </c>
      <c r="J46" s="5" t="n"/>
      <c r="K46" s="5" t="n"/>
    </row>
    <row r="47">
      <c r="F47" s="5" t="inlineStr">
        <is>
          <t>진단검사</t>
        </is>
      </c>
      <c r="G47" s="5" t="inlineStr">
        <is>
          <t>진단검사의학과</t>
        </is>
      </c>
      <c r="J47" s="5" t="n"/>
      <c r="K47" s="5" t="n"/>
    </row>
    <row r="48">
      <c r="F48" s="5" t="inlineStr">
        <is>
          <t>병리</t>
        </is>
      </c>
      <c r="G48" s="5" t="inlineStr">
        <is>
          <t>병리과</t>
        </is>
      </c>
      <c r="J48" s="5" t="n"/>
      <c r="K48" s="5" t="n"/>
    </row>
    <row r="49">
      <c r="F49" s="5" t="inlineStr">
        <is>
          <t>가정</t>
        </is>
      </c>
      <c r="G49" s="5" t="inlineStr">
        <is>
          <t>가정의학과</t>
        </is>
      </c>
      <c r="J49" s="5" t="n"/>
      <c r="K49" s="5" t="n"/>
    </row>
    <row r="50">
      <c r="F50" s="5" t="inlineStr">
        <is>
          <t>가정의학</t>
        </is>
      </c>
      <c r="G50" s="5" t="inlineStr">
        <is>
          <t>가정의학과</t>
        </is>
      </c>
      <c r="J50" s="5" t="n"/>
      <c r="K50" s="5" t="n"/>
    </row>
    <row r="51">
      <c r="F51" s="5" t="inlineStr">
        <is>
          <t>응급</t>
        </is>
      </c>
      <c r="G51" s="5" t="inlineStr">
        <is>
          <t>응급의학과</t>
        </is>
      </c>
      <c r="J51" s="5" t="n"/>
      <c r="K51" s="5" t="n"/>
    </row>
    <row r="52">
      <c r="F52" s="5" t="inlineStr">
        <is>
          <t>핵의학</t>
        </is>
      </c>
      <c r="G52" s="5" t="inlineStr">
        <is>
          <t>핵의학과</t>
        </is>
      </c>
      <c r="J52" s="5" t="n"/>
      <c r="K52" s="5" t="n"/>
    </row>
    <row r="53">
      <c r="F53" s="5" t="inlineStr">
        <is>
          <t>핵</t>
        </is>
      </c>
      <c r="G53" s="5" t="inlineStr">
        <is>
          <t>핵의학과</t>
        </is>
      </c>
      <c r="J53" s="5" t="n"/>
      <c r="K53" s="5" t="n"/>
    </row>
    <row r="54">
      <c r="F54" s="5" t="inlineStr">
        <is>
          <t>직업환경</t>
        </is>
      </c>
      <c r="G54" s="5" t="inlineStr">
        <is>
          <t>직업환경의학과</t>
        </is>
      </c>
      <c r="J54" s="5" t="n"/>
      <c r="K54" s="5" t="n"/>
    </row>
    <row r="55">
      <c r="F55" s="5" t="inlineStr">
        <is>
          <t>직환</t>
        </is>
      </c>
      <c r="G55" s="5" t="inlineStr">
        <is>
          <t>직업환경의학과</t>
        </is>
      </c>
      <c r="J55" s="5" t="n"/>
      <c r="K55" s="5" t="n"/>
    </row>
    <row r="56">
      <c r="F56" s="5" t="inlineStr">
        <is>
          <t>수련교육부</t>
        </is>
      </c>
      <c r="G56" s="5" t="inlineStr">
        <is>
          <t>수련교육부(인턴)</t>
        </is>
      </c>
      <c r="J56" s="5" t="n"/>
      <c r="K56" s="5" t="n"/>
    </row>
    <row r="57">
      <c r="F57" s="5" t="inlineStr">
        <is>
          <t>인턴</t>
        </is>
      </c>
      <c r="G57" s="5" t="inlineStr">
        <is>
          <t>수련교육부(인턴)</t>
        </is>
      </c>
      <c r="J57" s="5" t="n"/>
      <c r="K57" s="5" t="n"/>
    </row>
    <row r="58">
      <c r="F58" s="5" t="inlineStr">
        <is>
          <t>핵방</t>
        </is>
      </c>
      <c r="G58" s="5" t="inlineStr">
        <is>
          <t>핵/방</t>
        </is>
      </c>
      <c r="J58" s="5" t="n"/>
      <c r="K58" s="5" t="n"/>
    </row>
    <row r="59">
      <c r="F59" s="5" t="inlineStr">
        <is>
          <t>핵/방</t>
        </is>
      </c>
      <c r="G59" s="5" t="inlineStr">
        <is>
          <t>핵/방</t>
        </is>
      </c>
      <c r="J59" s="5" t="n"/>
      <c r="K59" s="5" t="n"/>
    </row>
    <row r="60">
      <c r="F60" s="5" t="inlineStr">
        <is>
          <t>통합</t>
        </is>
      </c>
      <c r="G60" s="5" t="inlineStr">
        <is>
          <t>통합</t>
        </is>
      </c>
      <c r="J60" s="5" t="n"/>
      <c r="K60" s="5" t="n"/>
    </row>
    <row r="61">
      <c r="F61" s="5" t="n"/>
      <c r="G61" s="5" t="n"/>
      <c r="J61" s="5" t="n"/>
      <c r="K61" s="5" t="n"/>
    </row>
    <row r="62">
      <c r="F62" s="5" t="n"/>
      <c r="G62" s="5" t="n"/>
      <c r="J62" s="5" t="n"/>
      <c r="K62" s="5" t="n"/>
    </row>
    <row r="63">
      <c r="F63" s="5" t="n"/>
      <c r="G63" s="5" t="n"/>
      <c r="J63" s="5" t="n"/>
      <c r="K63" s="5" t="n"/>
    </row>
    <row r="64">
      <c r="F64" s="5" t="n"/>
      <c r="G64" s="5" t="n"/>
      <c r="J64" s="5" t="n"/>
      <c r="K64" s="5" t="n"/>
    </row>
    <row r="65">
      <c r="F65" s="5" t="n"/>
      <c r="G65" s="5" t="n"/>
      <c r="J65" s="5" t="n"/>
      <c r="K65" s="5" t="n"/>
    </row>
    <row r="66">
      <c r="F66" s="5" t="n"/>
      <c r="G66" s="5" t="n"/>
      <c r="J66" s="5" t="n"/>
      <c r="K66" s="5" t="n"/>
    </row>
    <row r="67">
      <c r="F67" s="5" t="n"/>
      <c r="G67" s="5" t="n"/>
      <c r="J67" s="5" t="n"/>
      <c r="K67" s="5" t="n"/>
    </row>
    <row r="68">
      <c r="F68" s="5" t="n"/>
      <c r="G68" s="5" t="n"/>
      <c r="J68" s="5" t="n"/>
      <c r="K68" s="5" t="n"/>
    </row>
    <row r="69">
      <c r="F69" s="5" t="n"/>
      <c r="G69" s="5" t="n"/>
      <c r="J69" s="5" t="n"/>
      <c r="K69" s="5" t="n"/>
    </row>
    <row r="70">
      <c r="F70" s="5" t="n"/>
      <c r="G70" s="5" t="n"/>
      <c r="J70" s="5" t="n"/>
      <c r="K70" s="5" t="n"/>
    </row>
    <row r="71">
      <c r="F71" s="5" t="n"/>
      <c r="G71" s="5" t="n"/>
      <c r="J71" s="5" t="n"/>
      <c r="K71" s="5" t="n"/>
    </row>
    <row r="72">
      <c r="F72" s="5" t="n"/>
      <c r="G72" s="5" t="n"/>
      <c r="J72" s="5" t="n"/>
      <c r="K72" s="5" t="n"/>
    </row>
    <row r="73">
      <c r="F73" s="5" t="n"/>
      <c r="G73" s="5" t="n"/>
      <c r="J73" s="5" t="n"/>
      <c r="K73" s="5" t="n"/>
    </row>
    <row r="74">
      <c r="F74" s="5" t="n"/>
      <c r="G74" s="5" t="n"/>
      <c r="J74" s="5" t="n"/>
      <c r="K74" s="5" t="n"/>
    </row>
    <row r="75">
      <c r="F75" s="5" t="n"/>
      <c r="G75" s="5" t="n"/>
      <c r="J75" s="5" t="n"/>
      <c r="K75" s="5" t="n"/>
    </row>
    <row r="76">
      <c r="F76" s="5" t="n"/>
      <c r="G76" s="5" t="n"/>
      <c r="J76" s="5" t="n"/>
      <c r="K76" s="5" t="n"/>
    </row>
    <row r="77">
      <c r="F77" s="5" t="n"/>
      <c r="G77" s="5" t="n"/>
      <c r="J77" s="5" t="n"/>
      <c r="K77" s="5" t="n"/>
    </row>
    <row r="78">
      <c r="F78" s="5" t="n"/>
      <c r="G78" s="5" t="n"/>
      <c r="J78" s="5" t="n"/>
      <c r="K78" s="5" t="n"/>
    </row>
    <row r="79">
      <c r="F79" s="5" t="n"/>
      <c r="G79" s="5" t="n"/>
      <c r="J79" s="5" t="n"/>
      <c r="K79" s="5" t="n"/>
    </row>
    <row r="80">
      <c r="F80" s="5" t="n"/>
      <c r="G80" s="5" t="n"/>
      <c r="J80" s="5" t="n"/>
      <c r="K80" s="5" t="n"/>
    </row>
    <row r="81">
      <c r="F81" s="5" t="n"/>
      <c r="G81" s="5" t="n"/>
      <c r="J81" s="5" t="n"/>
      <c r="K81" s="5" t="n"/>
    </row>
    <row r="82">
      <c r="F82" s="5" t="n"/>
      <c r="G82" s="5" t="n"/>
      <c r="J82" s="5" t="n"/>
      <c r="K82" s="5" t="n"/>
    </row>
    <row r="83">
      <c r="F83" s="5" t="n"/>
      <c r="G83" s="5" t="n"/>
      <c r="J83" s="5" t="n"/>
      <c r="K83" s="5" t="n"/>
    </row>
    <row r="84">
      <c r="F84" s="5" t="n"/>
      <c r="G84" s="5" t="n"/>
      <c r="J84" s="5" t="n"/>
      <c r="K84" s="5" t="n"/>
    </row>
    <row r="85">
      <c r="F85" s="5" t="n"/>
      <c r="G85" s="5" t="n"/>
      <c r="J85" s="5" t="n"/>
      <c r="K85" s="5" t="n"/>
    </row>
    <row r="86">
      <c r="F86" s="5" t="n"/>
      <c r="G86" s="5" t="n"/>
      <c r="J86" s="5" t="n"/>
      <c r="K86" s="5" t="n"/>
    </row>
    <row r="87">
      <c r="F87" s="5" t="n"/>
      <c r="G87" s="5" t="n"/>
      <c r="J87" s="5" t="n"/>
      <c r="K87" s="5" t="n"/>
    </row>
    <row r="88">
      <c r="F88" s="5" t="n"/>
      <c r="G88" s="5" t="n"/>
      <c r="J88" s="5" t="n"/>
      <c r="K88" s="5" t="n"/>
    </row>
    <row r="89">
      <c r="F89" s="5" t="n"/>
      <c r="G89" s="5" t="n"/>
      <c r="J89" s="5" t="n"/>
      <c r="K89" s="5" t="n"/>
    </row>
    <row r="90">
      <c r="F90" s="5" t="n"/>
      <c r="G90" s="5" t="n"/>
      <c r="J90" s="5" t="n"/>
      <c r="K90" s="5" t="n"/>
    </row>
    <row r="91">
      <c r="F91" s="5" t="n"/>
      <c r="G91" s="5" t="n"/>
      <c r="J91" s="5" t="n"/>
      <c r="K91" s="5" t="n"/>
    </row>
    <row r="92">
      <c r="F92" s="5" t="n"/>
      <c r="G92" s="5" t="n"/>
      <c r="J92" s="5" t="n"/>
      <c r="K92" s="5" t="n"/>
    </row>
    <row r="93">
      <c r="F93" s="5" t="n"/>
      <c r="G93" s="5" t="n"/>
      <c r="J93" s="5" t="n"/>
      <c r="K93" s="5" t="n"/>
    </row>
    <row r="94">
      <c r="F94" s="5" t="n"/>
      <c r="G94" s="5" t="n"/>
      <c r="J94" s="5" t="n"/>
      <c r="K94" s="5" t="n"/>
    </row>
    <row r="95">
      <c r="F95" s="5" t="n"/>
      <c r="G95" s="5" t="n"/>
      <c r="J95" s="5" t="n"/>
      <c r="K95" s="5" t="n"/>
    </row>
    <row r="96">
      <c r="F96" s="5" t="n"/>
      <c r="G96" s="5" t="n"/>
      <c r="J96" s="5" t="n"/>
      <c r="K96" s="5" t="n"/>
    </row>
    <row r="97">
      <c r="F97" s="5" t="n"/>
      <c r="G97" s="5" t="n"/>
      <c r="J97" s="5" t="n"/>
      <c r="K97" s="5" t="n"/>
    </row>
    <row r="98">
      <c r="F98" s="5" t="n"/>
      <c r="G98" s="5" t="n"/>
      <c r="J98" s="5" t="n"/>
      <c r="K98" s="5" t="n"/>
    </row>
    <row r="99">
      <c r="F99" s="5" t="n"/>
      <c r="G99" s="5" t="n"/>
      <c r="J99" s="5" t="n"/>
      <c r="K99" s="5" t="n"/>
    </row>
    <row r="100">
      <c r="F100" s="5" t="n"/>
      <c r="G100" s="5" t="n"/>
      <c r="J100" s="5" t="n"/>
      <c r="K100" s="5" t="n"/>
    </row>
    <row r="101">
      <c r="F101" s="5" t="n"/>
      <c r="G101" s="5" t="n"/>
      <c r="J101" s="5" t="n"/>
      <c r="K10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2026-10-03T13:23:47Z</dcterms:created>
  <dcterms:modified xsi:type="dcterms:W3CDTF">2026-10-03T13:23:48Z</dcterms:modified>
</cp:coreProperties>
</file>