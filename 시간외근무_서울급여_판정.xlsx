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입력_시간외상세" sheetId="2" state="visible" r:id="rId2"/>
    <sheet xmlns:r="http://schemas.openxmlformats.org/officeDocument/2006/relationships" name="입력_시간외합계" sheetId="3" state="visible" r:id="rId3"/>
    <sheet xmlns:r="http://schemas.openxmlformats.org/officeDocument/2006/relationships" name="입력_기관명단" sheetId="4" state="visible" r:id="rId4"/>
    <sheet xmlns:r="http://schemas.openxmlformats.org/officeDocument/2006/relationships" name="출력_연속근무" sheetId="5" state="visible" r:id="rId5"/>
    <sheet xmlns:r="http://schemas.openxmlformats.org/officeDocument/2006/relationships" name="출력_월경계당직" sheetId="6" state="visible" r:id="rId6"/>
    <sheet xmlns:r="http://schemas.openxmlformats.org/officeDocument/2006/relationships" name="출력_서울급여판정" sheetId="7" state="visible" r:id="rId7"/>
    <sheet xmlns:r="http://schemas.openxmlformats.org/officeDocument/2006/relationships" name="출력_타병원발송" sheetId="8" state="visible" r:id="rId8"/>
    <sheet xmlns:r="http://schemas.openxmlformats.org/officeDocument/2006/relationships" name="설정" sheetId="9" state="visible" r:id="rId9"/>
  </sheets>
  <definedNames>
    <definedName name="연속허용분">'설정'!$B$2</definedName>
    <definedName name="대상월">'설정'!$B$4</definedName>
    <definedName name="대상월키">TEXT(대상월,"yyyy-mm")</definedName>
    <definedName name="공휴일목록">공휴일표[날짜]</definedName>
    <definedName name="익월초기관목록">익월초기관표[기관]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3">
    <numFmt numFmtId="164" formatCode="yyyy-mm"/>
    <numFmt numFmtId="165" formatCode="yyyy-mm-dd"/>
    <numFmt numFmtId="166" formatCode="yyyy-mm-dd hh:mm"/>
  </numFmts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color rgb="000000FF"/>
      <sz val="10"/>
    </font>
    <font>
      <name val="맑은 고딕"/>
      <color rgb="007F7F7F"/>
      <sz val="9"/>
    </font>
    <font>
      <name val="맑은 고딕"/>
      <b val="1"/>
      <sz val="14"/>
    </font>
    <font>
      <name val="맑은 고딕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833C0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0" borderId="1" pivotButton="0" quotePrefix="0" xfId="0"/>
    <xf numFmtId="2" fontId="3" fillId="0" borderId="1" pivotButton="0" quotePrefix="0" xfId="0"/>
    <xf numFmtId="0" fontId="6" fillId="5" borderId="1" pivotButton="0" quotePrefix="0" xfId="0"/>
    <xf numFmtId="166" fontId="6" fillId="5" borderId="1" pivotButton="0" quotePrefix="0" xfId="0"/>
    <xf numFmtId="1" fontId="6" fillId="5" borderId="1" pivotButton="0" quotePrefix="0" xfId="0"/>
    <xf numFmtId="2" fontId="6" fillId="5" borderId="1" pivotButton="0" quotePrefix="0" xfId="0"/>
    <xf numFmtId="49" fontId="3" fillId="0" borderId="1" pivotButton="0" quotePrefix="0" xfId="0"/>
    <xf numFmtId="0" fontId="2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165" fontId="3" fillId="0" borderId="1" pivotButton="0" quotePrefix="0" xfId="0"/>
  </cellXfs>
  <cellStyles count="1">
    <cellStyle name="Normal" xfId="0" builtinId="0" hidden="0"/>
  </cellStyles>
  <dxfs count="10">
    <dxf>
      <fill>
        <patternFill patternType="solid">
          <bgColor rgb="00FFC7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CE4D6"/>
        </patternFill>
      </fill>
    </dxf>
    <dxf>
      <fill>
        <patternFill patternType="solid">
          <bgColor rgb="00FFF2CC"/>
        </patternFill>
      </fill>
    </dxf>
    <dxf>
      <fill>
        <patternFill patternType="solid">
          <bgColor rgb="00F8CBAD"/>
        </patternFill>
      </fill>
    </dxf>
    <dxf>
      <font>
        <name val="맑은 고딕"/>
        <color rgb="007F7F7F"/>
      </font>
      <fill>
        <patternFill patternType="solid">
          <bgColor rgb="00EDEDED"/>
        </patternFill>
      </fill>
    </dxf>
    <dxf>
      <font>
        <name val="맑은 고딕"/>
        <b val="1"/>
        <color rgb="00833C0B"/>
      </font>
      <fill>
        <patternFill patternType="solid">
          <bgColor rgb="00F8CBAD"/>
        </patternFill>
      </fill>
    </dxf>
    <dxf>
      <font>
        <name val="맑은 고딕"/>
        <b val="1"/>
      </font>
      <fill>
        <patternFill patternType="solid">
          <bgColor rgb="00C6E0B4"/>
        </patternFill>
      </fill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ont>
        <name val="맑은 고딕"/>
        <b val="1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Relationship Id="rIdMeta1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상세표" displayName="상세표" ref="A4:AL16" headerRowCount="1">
  <tableColumns count="38">
    <tableColumn id="1" name="부서"/>
    <tableColumn id="2" name="사번"/>
    <tableColumn id="3" name="성명"/>
    <tableColumn id="4" name="직위"/>
    <tableColumn id="5" name="근무일자"/>
    <tableColumn id="6" name="시작시간"/>
    <tableColumn id="7" name="종료시간"/>
    <tableColumn id="8" name="06~07시"/>
    <tableColumn id="9" name="07~18시"/>
    <tableColumn id="10" name="18~22시"/>
    <tableColumn id="11" name="22~06시"/>
    <tableColumn id="12" name="사번키">
      <calculatedColumnFormula>IF(TRIM(상세표[[#This Row],[사번]]&amp;"")="","","S|"&amp;TRIM(상세표[[#This Row],[사번]]&amp;""))</calculatedColumnFormula>
    </tableColumn>
    <tableColumn id="13" name="시작">
      <calculatedColumnFormula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calculatedColumnFormula>
    </tableColumn>
    <tableColumn id="14" name="종료">
      <calculatedColumnFormula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calculatedColumnFormula>
    </tableColumn>
    <tableColumn id="15" name="이어짐">
      <calculatedColumnFormula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calculatedColumnFormula>
    </tableColumn>
    <tableColumn id="16" name="블록시작">
      <calculatedColumnFormula>IF(AND(ISNUMBER(상세표[[#This Row],[시작]]),ISNUMBER(상세표[[#This Row],[종료]]),상세표[[#This Row],[이어짐]]=""),1,0)</calculatedColumnFormula>
    </tableColumn>
    <tableColumn id="17" name="다음블록시작">
      <calculatedColumnFormula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calculatedColumnFormula>
    </tableColumn>
    <tableColumn id="18" name="블록종료">
      <calculatedColumnFormula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19" name="연속 시간">
      <calculatedColumnFormula>IF(상세표[[#This Row],[블록시작]]&lt;&gt;1,"",ROUND((상세표[[#This Row],[블록종료]]-상세표[[#This Row],[시작]])*24,2))</calculatedColumnFormula>
    </tableColumn>
    <tableColumn id="20" name="기록 수">
      <calculatedColumnFormula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1" name="블록 06~07시">
      <calculatedColumnFormula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2" name="블록 07~18시">
      <calculatedColumnFormula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3" name="블록 18~22시">
      <calculatedColumnFormula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4" name="블록 22~06시">
      <calculatedColumnFormula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calculatedColumnFormula>
    </tableColumn>
    <tableColumn id="25" name="주말·휴일 포함">
      <calculatedColumnFormula>IF(상세표[[#This Row],[블록시작]]&lt;&gt;1,"",_xlfn.LET(_xlpm.v_a,INT(상세표[[#This Row],[시작]]),_xlpm.v_b,INT(상세표[[#This Row],[블록종료]]-1/86400),IF((_xlpm.v_b-_xlpm.v_a+1)-NETWORKDAYS(_xlpm.v_a,_xlpm.v_b,공휴일목록)&gt;0,"포함","")))</calculatedColumnFormula>
    </tableColumn>
    <tableColumn id="26" name="시작월">
      <calculatedColumnFormula>IF(상세표[[#This Row],[블록시작]]&lt;&gt;1,"",TEXT(상세표[[#This Row],[시작]],"yyyy-mm"))</calculatedColumnFormula>
    </tableColumn>
    <tableColumn id="27" name="블록종료월">
      <calculatedColumnFormula>IF(상세표[[#This Row],[블록시작]]&lt;&gt;1,"",TEXT(상세표[[#This Row],[블록종료]]-1/86400,"yyyy-mm"))</calculatedColumnFormula>
    </tableColumn>
    <tableColumn id="28" name="월 넘김 포함">
      <calculatedColumnFormula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calculatedColumnFormula>
    </tableColumn>
    <tableColumn id="29" name="기록 시간외">
      <calculatedColumnFormula>N(상세표[[#This Row],[06~07시]])+N(상세표[[#This Row],[07~18시]])+N(상세표[[#This Row],[18~22시]])+N(상세표[[#This Row],[22~06시]])</calculatedColumnFormula>
    </tableColumn>
    <tableColumn id="30" name="기록월">
      <calculatedColumnFormula>IF(ISNUMBER(상세표[[#This Row],[시작]]),TEXT(상세표[[#This Row],[시작]],"yyyy-mm"),"")</calculatedColumnFormula>
    </tableColumn>
    <tableColumn id="31" name="종료월">
      <calculatedColumnFormula>IF(ISNUMBER(상세표[[#This Row],[종료]]),TEXT(상세표[[#This Row],[종료]]-1/86400,"yyyy-mm"),"")</calculatedColumnFormula>
    </tableColumn>
    <tableColumn id="32" name="월 넘김">
      <calculatedColumnFormula>IF(AND(상세표[[#This Row],[기록월]]&lt;&gt;"",상세표[[#This Row],[종료월]]&lt;&gt;"",상세표[[#This Row],[기록월]]&lt;&gt;상세표[[#This Row],[종료월]]),"월 넘김","")</calculatedColumnFormula>
    </tableColumn>
    <tableColumn id="33" name="기관명단">
      <calculatedColumnFormula>IF(상세표[[#This Row],[사번키]]="","",IF(COUNTIF(기관표[사번키],상세표[[#This Row],[사번키]])=0,"없음","있음"))</calculatedColumnFormula>
    </tableColumn>
    <tableColumn id="34" name="시작월 기관">
      <calculatedColumnFormula>IF(상세표[[#This Row],[기록월]]="","",_xlfn.XLOOKUP(상세표[[#This Row],[사번키]]&amp;"|"&amp;상세표[[#This Row],[기록월]],기관표[키],기관표[급여지급병원(기준월)]&amp;"",""))</calculatedColumnFormula>
    </tableColumn>
    <tableColumn id="35" name="종료월 기관">
      <calculatedColumnFormula>IF(상세표[[#This Row],[월 넘김]]="",상세표[[#This Row],[시작월 기관]],_xlfn.XLOOKUP(상세표[[#This Row],[사번키]]&amp;"|"&amp;상세표[[#This Row],[종료월]],기관표[키],기관표[급여지급병원(기준월)]&amp;"",""))</calculatedColumnFormula>
    </tableColumn>
    <tableColumn id="36" name="월경계 판정">
      <calculatedColumnFormula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calculatedColumnFormula>
    </tableColumn>
    <tableColumn id="37" name="반영월">
      <calculatedColumnFormula>IF(상세표[[#This Row],[기록월]]="","",IF(상세표[[#This Row],[월경계 판정]]="익월초 급여 반영",상세표[[#This Row],[종료월]],상세표[[#This Row],[기록월]]))</calculatedColumnFormula>
    </tableColumn>
    <tableColumn id="38" name="반영 기관">
      <calculatedColumnFormula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calculatedColumnFormula>
    </tableColumn>
  </tableColumns>
  <tableStyleInfo name="TableStyleLight9" showRowStripes="1"/>
</table>
</file>

<file path=xl/tables/table2.xml><?xml version="1.0" encoding="utf-8"?>
<table xmlns="http://schemas.openxmlformats.org/spreadsheetml/2006/main" id="2" name="합계표" displayName="합계표" ref="A4:L9" headerRowCount="1">
  <tableColumns count="12">
    <tableColumn id="1" name="부서"/>
    <tableColumn id="2" name="사번"/>
    <tableColumn id="3" name="성명"/>
    <tableColumn id="4" name="직위"/>
    <tableColumn id="5" name="직위(변환)"/>
    <tableColumn id="6" name="06~07시"/>
    <tableColumn id="7" name="07~18시"/>
    <tableColumn id="8" name="18~22시"/>
    <tableColumn id="9" name="22~06시"/>
    <tableColumn id="10" name="사번키">
      <calculatedColumnFormula>IF(TRIM(합계표[[#This Row],[사번]]&amp;"")="","","S|"&amp;TRIM(합계표[[#This Row],[사번]]&amp;""))</calculatedColumnFormula>
    </tableColumn>
    <tableColumn id="11" name="시스템 합계">
      <calculatedColumnFormula>IFERROR(VALUE(TRIM(합계표[[#This Row],[06~07시]]&amp;"")),0)+IFERROR(VALUE(TRIM(합계표[[#This Row],[07~18시]]&amp;"")),0)+IFERROR(VALUE(TRIM(합계표[[#This Row],[18~22시]]&amp;"")),0)+IFERROR(VALUE(TRIM(합계표[[#This Row],[22~06시]]&amp;"")),0)</calculatedColumnFormula>
    </tableColumn>
    <tableColumn id="12" name="직위(통합)">
      <calculatedColumnFormula>IF(합계표[[#This Row],[사번키]]="","",IF(_xlfn.XLOOKUP(합계표[[#This Row],[사번키]],합계표[사번키],합계표[직위(변환)],"",0,1)&amp;""=_xlfn.XLOOKUP(합계표[[#This Row],[사번키]],합계표[사번키],합계표[직위(변환)],"",0,-1)&amp;"",_xlfn.XLOOKUP(합계표[[#This Row],[사번키]],합계표[사번키],합계표[직위(변환)],"",0,1)&amp;"",_xlfn.XLOOKUP(합계표[[#This Row],[사번키]],합계표[사번키],합계표[직위(변환)],"",0,1)&amp;""&amp;", "&amp;_xlfn.XLOOKUP(합계표[[#This Row],[사번키]],합계표[사번키],합계표[직위(변환)],"",0,-1)&amp;""))</calculatedColumnFormula>
    </tableColumn>
  </tableColumns>
  <tableStyleInfo name="TableStyleLight9" showRowStripes="1"/>
</table>
</file>

<file path=xl/tables/table3.xml><?xml version="1.0" encoding="utf-8"?>
<table xmlns="http://schemas.openxmlformats.org/spreadsheetml/2006/main" id="3" name="기관표" displayName="기관표" ref="A1:L10" headerRowCount="1">
  <tableColumns count="12">
    <tableColumn id="1" name="기준월"/>
    <tableColumn id="2" name="사번"/>
    <tableColumn id="3" name="이름"/>
    <tableColumn id="4" name="수련과목"/>
    <tableColumn id="5" name="연차"/>
    <tableColumn id="6" name="소속병원"/>
    <tableColumn id="7" name="기준월 근무병원"/>
    <tableColumn id="8" name="급여지급병원(기준월)"/>
    <tableColumn id="9" name="급여 판정 근거"/>
    <tableColumn id="10" name="월키">
      <calculatedColumnFormula>IF(ISNUMBER(기관표[[#This Row],[기준월]]),TEXT(기관표[[#This Row],[기준월]],"yyyy-mm"),LEFT(TRIM(기관표[[#This Row],[기준월]]&amp;""),7))</calculatedColumnFormula>
    </tableColumn>
    <tableColumn id="11" name="사번키">
      <calculatedColumnFormula>IF(TRIM(기관표[[#This Row],[사번]]&amp;"")="","","S|"&amp;TRIM(기관표[[#This Row],[사번]]&amp;""))</calculatedColumnFormula>
    </tableColumn>
    <tableColumn id="12" name="키">
      <calculatedColumnFormula>IF(기관표[[#This Row],[사번키]]="","",기관표[[#This Row],[사번키]]&amp;"|"&amp;기관표[[#This Row],[월키]])</calculatedColumnFormula>
    </tableColumn>
  </tableColumns>
  <tableStyleInfo name="TableStyleLight9" showRowStripes="1"/>
</table>
</file>

<file path=xl/tables/table4.xml><?xml version="1.0" encoding="utf-8"?>
<table xmlns="http://schemas.openxmlformats.org/spreadsheetml/2006/main" id="4" name="공휴일표" displayName="공휴일표" ref="A6:B26" headerRowCount="1">
  <tableColumns count="2">
    <tableColumn id="1" name="날짜"/>
    <tableColumn id="2" name="이름"/>
  </tableColumns>
  <tableStyleInfo name="TableStyleLight1" showRowStripes="1"/>
</table>
</file>

<file path=xl/tables/table5.xml><?xml version="1.0" encoding="utf-8"?>
<table xmlns="http://schemas.openxmlformats.org/spreadsheetml/2006/main" id="5" name="익월초기관표" displayName="익월초기관표" ref="D6:D10" headerRowCount="1">
  <tableColumns count="1">
    <tableColumn id="1" name="기관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workbookViewId="0">
      <selection activeCell="A1" sqref="A1"/>
    </sheetView>
  </sheetViews>
  <sheetFormatPr baseColWidth="8" defaultRowHeight="15"/>
  <cols>
    <col width="170" customWidth="1" min="1" max="1"/>
  </cols>
  <sheetData>
    <row r="1">
      <c r="A1" s="1" t="inlineStr">
        <is>
          <t>시간외 근무 — 연속 근무 · 월 넘김 당직 · 서울급여 판정 (Microsoft 365 전용, 인원·행 제한 없음)</t>
        </is>
      </c>
    </row>
    <row r="2">
      <c r="A2" s="2" t="inlineStr"/>
    </row>
    <row r="3">
      <c r="A3" s="3" t="inlineStr">
        <is>
          <t>[매달 하는 일]</t>
        </is>
      </c>
    </row>
    <row r="4">
      <c r="A4" s="2" t="inlineStr">
        <is>
          <t>1) 설정 B4에 대상월(급여 처리할 달) 입력 — 기본값은 지난달</t>
        </is>
      </c>
    </row>
    <row r="5">
      <c r="A5" s="2" t="inlineStr">
        <is>
          <t>2) 입력_시간외상세: 대상월 상세내역 + 전월 상세내역 중 말일 기록(또는 전월 전체)을 A5부터 붙여넣기. 익월 상세가 이미 있으면 함께 넣어도 됩니다.</t>
        </is>
      </c>
    </row>
    <row r="6">
      <c r="A6" s="2" t="inlineStr">
        <is>
          <t>3) 입력_시간외합계: 대상월 '월별 전공의 시간외 근무'의 5행부터 끝까지를 A5에 붙여넣기</t>
        </is>
      </c>
    </row>
    <row r="7">
      <c r="A7" s="2" t="inlineStr">
        <is>
          <t>4) 입력_기관명단: 전공의 파견 모니터링 파일의 출력_기관명단을 값으로 복사해 붙여넣기 — 전월·대상월·익월 3개월치 (모니터링 파일 설정의 급여 기준월을 바꿔 가며 복사)</t>
        </is>
      </c>
    </row>
    <row r="8">
      <c r="A8" s="2" t="inlineStr"/>
    </row>
    <row r="9">
      <c r="A9" s="3" t="inlineStr">
        <is>
          <t>[출력 시트]</t>
        </is>
      </c>
    </row>
    <row r="10">
      <c r="A10" s="2" t="inlineStr">
        <is>
          <t>• 출력_연속근무: 대상월에 걸친 이어진 근무를 한 줄로(전월 말일에 시작한 당직 포함), 사번·시작 순, 빈 줄 없음. 주말·휴일, 36시간 초과, 월 넘김 표시</t>
        </is>
      </c>
    </row>
    <row r="11">
      <c r="A11" s="2" t="inlineStr">
        <is>
          <t>• 출력_월경계당직: 전월 말일→대상월, 대상월 말일→익월로 넘어가는 당직마다 시작월·종료월 기관, 판정, 반영 급여월·기관</t>
        </is>
      </c>
    </row>
    <row r="12">
      <c r="A12" s="2" t="inlineStr">
        <is>
          <t>• 출력_서울급여판정: 사번별(직위가 달라도 같은 사번이면 한 사람) 시스템 합계·상세 대조, 이월(−)/전입(+), 대상월 반영 시간, 대상월 급여지급병원, 서울 반영 시간(시간대별)</t>
        </is>
      </c>
    </row>
    <row r="13">
      <c r="A13" s="2" t="inlineStr">
        <is>
          <t>• 출력_타병원발송: 기관명단에 사번이 없는 시간외 근무자(다른 병원으로 발송할 대상)와 그 사람들의 대상월 상세 기록</t>
        </is>
      </c>
    </row>
    <row r="14">
      <c r="A14" s="2" t="inlineStr"/>
    </row>
    <row r="15">
      <c r="A15" s="3" t="inlineStr">
        <is>
          <t>[월을 넘는 당직 규칙] — 기록(당직 1건) 단위로 판단</t>
        </is>
      </c>
    </row>
    <row r="16">
      <c r="A16" s="2" t="inlineStr">
        <is>
          <t>• 시작한 달과 끝난 달의 기관(입력_기관명단의 급여지급병원)이 같으면: 시작한 달 급여에 반영</t>
        </is>
      </c>
    </row>
    <row r="17">
      <c r="A17" s="2" t="inlineStr">
        <is>
          <t>• 서울↔구리: 시작한 달의 15일 이상 근무 기관(그 달 급여지급병원)에 반영</t>
        </is>
      </c>
    </row>
    <row r="18">
      <c r="A18" s="2" t="inlineStr">
        <is>
          <t>• 구리↔인천·오산·창원·제주(설정의 '익월초 기관' 표): '익월초 급여 반영' — 끝난 달(익월) 급여로 넘기고 반영 기관은 '확인 필요'로 표시</t>
        </is>
      </c>
    </row>
    <row r="19">
      <c r="A19" s="2" t="inlineStr">
        <is>
          <t>• 그 밖의 조합(예: 서울↔인천)은 '규정 확인 필요', 기관명단에 해당 월이 없으면 '기관 정보 없음', 사번이 기관명단에 아예 없으면 '기관명단에 없음(다른 병원으로 발송)'</t>
        </is>
      </c>
    </row>
    <row r="20">
      <c r="A20" s="2" t="inlineStr">
        <is>
          <t>• 예: 08-31 20:00~09-01 08:00 제주→구리 → 9월(익월초) 급여 반영 / 09-30 20:00~10-01 08:00 서울→구리 → 9월 15일 이상 근무 기관(9월 급여지급병원)</t>
        </is>
      </c>
    </row>
    <row r="21">
      <c r="A21" s="2" t="inlineStr"/>
    </row>
    <row r="22">
      <c r="A22" s="3" t="inlineStr">
        <is>
          <t>[연속 근무 판단]</t>
        </is>
      </c>
    </row>
    <row r="23">
      <c r="A23" s="2" t="inlineStr">
        <is>
          <t>• 같은 사번에서 시작 시각이 다른 근무의 종료 시각과 같거나 겹치면 이어진 근무입니다(설정의 허용 공백(분) 이내 포함). 행 순서와 관계없이 시작 시각으로 찾습니다.</t>
        </is>
      </c>
    </row>
    <row r="24">
      <c r="A24" s="2" t="inlineStr">
        <is>
          <t>• 주말·휴일 포함: 토·일 또는 설정의 공휴일에 하루라도 걸치면 '포함'. 36시간 초과 연속 근무는 빨간색(전공의법 연속수련 한도 참고).</t>
        </is>
      </c>
    </row>
    <row r="25">
      <c r="A25" s="2" t="inlineStr"/>
    </row>
    <row r="26">
      <c r="A26" s="3" t="inlineStr">
        <is>
          <t>[참고]</t>
        </is>
      </c>
    </row>
    <row r="27">
      <c r="A27" s="2" t="inlineStr">
        <is>
          <t>• 시스템 합계와 비교하는 '상세 합계'는 시작 시각이 대상월인 기록의 합입니다(전월 말일 기록은 제외).</t>
        </is>
      </c>
    </row>
    <row r="28">
      <c r="A28" s="2" t="inlineStr">
        <is>
          <t>• Microsoft 365(또는 Excel 2021 이상)에서만 정상 동작합니다. 출력 시트에 값을 입력하면 #SPILL! 오류가 납니다.</t>
        </is>
      </c>
    </row>
    <row r="29">
      <c r="A29" s="2" t="inlineStr">
        <is>
          <t>• 예시 데이터(ㅇㅇ)는 지우고 실제 자료를 넣으세요. 개인정보가 포함되므로 파일 암호와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/>
  </sheetPr>
  <dimension ref="A1:AL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1" customWidth="1" min="5" max="5"/>
    <col width="16" customWidth="1" min="6" max="6"/>
    <col width="16" customWidth="1" min="7" max="7"/>
    <col width="7" customWidth="1" min="8" max="8"/>
    <col width="7" customWidth="1" min="9" max="9"/>
    <col width="7" customWidth="1" min="10" max="10"/>
    <col width="7" customWidth="1" min="11" max="11"/>
    <col width="10" customWidth="1" min="12" max="12"/>
    <col width="15" customWidth="1" min="13" max="13"/>
    <col width="15" customWidth="1" min="14" max="14"/>
    <col width="7" customWidth="1" min="15" max="15"/>
    <col width="7" customWidth="1" min="16" max="16"/>
    <col width="15" customWidth="1" min="17" max="17"/>
    <col width="15" customWidth="1" min="18" max="18"/>
    <col width="8" customWidth="1" min="19" max="19"/>
    <col width="6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7" customWidth="1" min="32" max="32"/>
    <col width="8" customWidth="1" min="33" max="33"/>
    <col width="10" customWidth="1" min="34" max="34"/>
    <col width="10" customWidth="1" min="35" max="35"/>
    <col width="24" customWidth="1" min="36" max="36"/>
    <col width="8" customWidth="1" min="37" max="37"/>
    <col width="22" customWidth="1" min="38" max="38"/>
  </cols>
  <sheetData>
    <row r="1">
      <c r="A1" s="1" t="inlineStr">
        <is>
          <t>월별 전공의 시간외 근무 상세내역</t>
        </is>
      </c>
    </row>
    <row r="2">
      <c r="A2" s="4" t="inlineStr">
        <is>
          <t>※ 원본 파일의 5행(자료 첫 행)부터 마지막 행까지 복사해 A5에 붙여넣으세요. 표가 자동으로 늘어납니다. 초록 머리글 열은 자동 계산.</t>
        </is>
      </c>
    </row>
    <row r="3">
      <c r="A3" s="4" t="inlineStr">
        <is>
          <t>※ 여러 달을 이어 붙여도 됩니다(월이 바뀌어도 이어진 근무를 찾음).</t>
        </is>
      </c>
    </row>
    <row r="4">
      <c r="A4" s="5" t="inlineStr">
        <is>
          <t>부서</t>
        </is>
      </c>
      <c r="B4" s="5" t="inlineStr">
        <is>
          <t>사번</t>
        </is>
      </c>
      <c r="C4" s="5" t="inlineStr">
        <is>
          <t>성명</t>
        </is>
      </c>
      <c r="D4" s="5" t="inlineStr">
        <is>
          <t>직위</t>
        </is>
      </c>
      <c r="E4" s="5" t="inlineStr">
        <is>
          <t>근무일자</t>
        </is>
      </c>
      <c r="F4" s="5" t="inlineStr">
        <is>
          <t>시작시간</t>
        </is>
      </c>
      <c r="G4" s="5" t="inlineStr">
        <is>
          <t>종료시간</t>
        </is>
      </c>
      <c r="H4" s="5" t="inlineStr">
        <is>
          <t>06~07시</t>
        </is>
      </c>
      <c r="I4" s="5" t="inlineStr">
        <is>
          <t>07~18시</t>
        </is>
      </c>
      <c r="J4" s="5" t="inlineStr">
        <is>
          <t>18~22시</t>
        </is>
      </c>
      <c r="K4" s="5" t="inlineStr">
        <is>
          <t>22~06시</t>
        </is>
      </c>
      <c r="L4" s="6" t="inlineStr">
        <is>
          <t>사번키</t>
        </is>
      </c>
      <c r="M4" s="6" t="inlineStr">
        <is>
          <t>시작</t>
        </is>
      </c>
      <c r="N4" s="6" t="inlineStr">
        <is>
          <t>종료</t>
        </is>
      </c>
      <c r="O4" s="6" t="inlineStr">
        <is>
          <t>이어짐</t>
        </is>
      </c>
      <c r="P4" s="6" t="inlineStr">
        <is>
          <t>블록시작</t>
        </is>
      </c>
      <c r="Q4" s="6" t="inlineStr">
        <is>
          <t>다음블록시작</t>
        </is>
      </c>
      <c r="R4" s="6" t="inlineStr">
        <is>
          <t>블록종료</t>
        </is>
      </c>
      <c r="S4" s="6" t="inlineStr">
        <is>
          <t>연속 시간</t>
        </is>
      </c>
      <c r="T4" s="6" t="inlineStr">
        <is>
          <t>기록 수</t>
        </is>
      </c>
      <c r="U4" s="6" t="inlineStr">
        <is>
          <t>블록 06~07시</t>
        </is>
      </c>
      <c r="V4" s="6" t="inlineStr">
        <is>
          <t>블록 07~18시</t>
        </is>
      </c>
      <c r="W4" s="6" t="inlineStr">
        <is>
          <t>블록 18~22시</t>
        </is>
      </c>
      <c r="X4" s="6" t="inlineStr">
        <is>
          <t>블록 22~06시</t>
        </is>
      </c>
      <c r="Y4" s="6" t="inlineStr">
        <is>
          <t>주말·휴일 포함</t>
        </is>
      </c>
      <c r="Z4" s="6" t="inlineStr">
        <is>
          <t>시작월</t>
        </is>
      </c>
      <c r="AA4" s="6" t="inlineStr">
        <is>
          <t>블록종료월</t>
        </is>
      </c>
      <c r="AB4" s="6" t="inlineStr">
        <is>
          <t>월 넘김 포함</t>
        </is>
      </c>
      <c r="AC4" s="6" t="inlineStr">
        <is>
          <t>기록 시간외</t>
        </is>
      </c>
      <c r="AD4" s="6" t="inlineStr">
        <is>
          <t>기록월</t>
        </is>
      </c>
      <c r="AE4" s="6" t="inlineStr">
        <is>
          <t>종료월</t>
        </is>
      </c>
      <c r="AF4" s="6" t="inlineStr">
        <is>
          <t>월 넘김</t>
        </is>
      </c>
      <c r="AG4" s="6" t="inlineStr">
        <is>
          <t>기관명단</t>
        </is>
      </c>
      <c r="AH4" s="6" t="inlineStr">
        <is>
          <t>시작월 기관</t>
        </is>
      </c>
      <c r="AI4" s="6" t="inlineStr">
        <is>
          <t>종료월 기관</t>
        </is>
      </c>
      <c r="AJ4" s="6" t="inlineStr">
        <is>
          <t>월경계 판정</t>
        </is>
      </c>
      <c r="AK4" s="6" t="inlineStr">
        <is>
          <t>반영월</t>
        </is>
      </c>
      <c r="AL4" s="6" t="inlineStr">
        <is>
          <t>반영 기관</t>
        </is>
      </c>
    </row>
    <row r="5">
      <c r="A5" s="7" t="inlineStr">
        <is>
          <t>ㅇㅇ과</t>
        </is>
      </c>
      <c r="B5" s="7" t="n">
        <v>2222222</v>
      </c>
      <c r="C5" s="7" t="inlineStr">
        <is>
          <t>김ㅇㅇ</t>
        </is>
      </c>
      <c r="D5" s="7" t="inlineStr">
        <is>
          <t>레지던트2</t>
        </is>
      </c>
      <c r="E5" s="7" t="inlineStr">
        <is>
          <t>2026-08-31</t>
        </is>
      </c>
      <c r="F5" s="7" t="inlineStr">
        <is>
          <t>2026-08-31 20:00</t>
        </is>
      </c>
      <c r="G5" s="7" t="inlineStr">
        <is>
          <t>2026-09-01 08:00</t>
        </is>
      </c>
      <c r="H5" s="8" t="n">
        <v>1</v>
      </c>
      <c r="I5" s="8" t="n">
        <v>1</v>
      </c>
      <c r="J5" s="8" t="n">
        <v>2</v>
      </c>
      <c r="K5" s="8" t="n">
        <v>8</v>
      </c>
      <c r="L5" s="9">
        <f>IF(TRIM(상세표[[#This Row],[사번]]&amp;"")="","","S|"&amp;TRIM(상세표[[#This Row],[사번]]&amp;""))</f>
        <v/>
      </c>
      <c r="M5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5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5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5" s="11">
        <f>IF(AND(ISNUMBER(상세표[[#This Row],[시작]]),ISNUMBER(상세표[[#This Row],[종료]]),상세표[[#This Row],[이어짐]]=""),1,0)</f>
        <v/>
      </c>
      <c r="Q5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5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5" s="12">
        <f>IF(상세표[[#This Row],[블록시작]]&lt;&gt;1,"",ROUND((상세표[[#This Row],[블록종료]]-상세표[[#This Row],[시작]])*24,2))</f>
        <v/>
      </c>
      <c r="T5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5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5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5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5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5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5" s="9">
        <f>IF(상세표[[#This Row],[블록시작]]&lt;&gt;1,"",TEXT(상세표[[#This Row],[시작]],"yyyy-mm"))</f>
        <v/>
      </c>
      <c r="AA5" s="9">
        <f>IF(상세표[[#This Row],[블록시작]]&lt;&gt;1,"",TEXT(상세표[[#This Row],[블록종료]]-1/86400,"yyyy-mm"))</f>
        <v/>
      </c>
      <c r="AB5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5" s="12">
        <f>N(상세표[[#This Row],[06~07시]])+N(상세표[[#This Row],[07~18시]])+N(상세표[[#This Row],[18~22시]])+N(상세표[[#This Row],[22~06시]])</f>
        <v/>
      </c>
      <c r="AD5" s="9">
        <f>IF(ISNUMBER(상세표[[#This Row],[시작]]),TEXT(상세표[[#This Row],[시작]],"yyyy-mm"),"")</f>
        <v/>
      </c>
      <c r="AE5" s="9">
        <f>IF(ISNUMBER(상세표[[#This Row],[종료]]),TEXT(상세표[[#This Row],[종료]]-1/86400,"yyyy-mm"),"")</f>
        <v/>
      </c>
      <c r="AF5" s="9">
        <f>IF(AND(상세표[[#This Row],[기록월]]&lt;&gt;"",상세표[[#This Row],[종료월]]&lt;&gt;"",상세표[[#This Row],[기록월]]&lt;&gt;상세표[[#This Row],[종료월]]),"월 넘김","")</f>
        <v/>
      </c>
      <c r="AG5" s="9">
        <f>IF(상세표[[#This Row],[사번키]]="","",IF(COUNTIF(기관표[사번키],상세표[[#This Row],[사번키]])=0,"없음","있음"))</f>
        <v/>
      </c>
      <c r="AH5" s="9">
        <f>IF(상세표[[#This Row],[기록월]]="","",_xlfn.XLOOKUP(상세표[[#This Row],[사번키]]&amp;"|"&amp;상세표[[#This Row],[기록월]],기관표[키],기관표[급여지급병원(기준월)]&amp;"",""))</f>
        <v/>
      </c>
      <c r="AI5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J5" s="9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K5" s="9">
        <f>IF(상세표[[#This Row],[기록월]]="","",IF(상세표[[#This Row],[월경계 판정]]="익월초 급여 반영",상세표[[#This Row],[종료월]],상세표[[#This Row],[기록월]]))</f>
        <v/>
      </c>
      <c r="AL5" s="9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</row>
    <row r="6">
      <c r="A6" s="7" t="inlineStr">
        <is>
          <t>ㅇㅇ과</t>
        </is>
      </c>
      <c r="B6" s="7" t="n">
        <v>2222222</v>
      </c>
      <c r="C6" s="7" t="inlineStr">
        <is>
          <t>김ㅇㅇ</t>
        </is>
      </c>
      <c r="D6" s="7" t="inlineStr">
        <is>
          <t>레지던트2</t>
        </is>
      </c>
      <c r="E6" s="7" t="inlineStr">
        <is>
          <t>2026-09-01</t>
        </is>
      </c>
      <c r="F6" s="7" t="inlineStr">
        <is>
          <t>2026-09-01 08:00</t>
        </is>
      </c>
      <c r="G6" s="7" t="inlineStr">
        <is>
          <t>2026-09-01 20:00</t>
        </is>
      </c>
      <c r="H6" s="8" t="n">
        <v>0</v>
      </c>
      <c r="I6" s="8" t="n">
        <v>10</v>
      </c>
      <c r="J6" s="8" t="n">
        <v>2</v>
      </c>
      <c r="K6" s="8" t="n">
        <v>0</v>
      </c>
      <c r="L6" s="9">
        <f>IF(TRIM(상세표[[#This Row],[사번]]&amp;"")="","","S|"&amp;TRIM(상세표[[#This Row],[사번]]&amp;""))</f>
        <v/>
      </c>
      <c r="M6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6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6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6" s="11">
        <f>IF(AND(ISNUMBER(상세표[[#This Row],[시작]]),ISNUMBER(상세표[[#This Row],[종료]]),상세표[[#This Row],[이어짐]]=""),1,0)</f>
        <v/>
      </c>
      <c r="Q6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6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6" s="12">
        <f>IF(상세표[[#This Row],[블록시작]]&lt;&gt;1,"",ROUND((상세표[[#This Row],[블록종료]]-상세표[[#This Row],[시작]])*24,2))</f>
        <v/>
      </c>
      <c r="T6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6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6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6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6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6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6" s="9">
        <f>IF(상세표[[#This Row],[블록시작]]&lt;&gt;1,"",TEXT(상세표[[#This Row],[시작]],"yyyy-mm"))</f>
        <v/>
      </c>
      <c r="AA6" s="9">
        <f>IF(상세표[[#This Row],[블록시작]]&lt;&gt;1,"",TEXT(상세표[[#This Row],[블록종료]]-1/86400,"yyyy-mm"))</f>
        <v/>
      </c>
      <c r="AB6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6" s="12">
        <f>N(상세표[[#This Row],[06~07시]])+N(상세표[[#This Row],[07~18시]])+N(상세표[[#This Row],[18~22시]])+N(상세표[[#This Row],[22~06시]])</f>
        <v/>
      </c>
      <c r="AD6" s="9">
        <f>IF(ISNUMBER(상세표[[#This Row],[시작]]),TEXT(상세표[[#This Row],[시작]],"yyyy-mm"),"")</f>
        <v/>
      </c>
      <c r="AE6" s="9">
        <f>IF(ISNUMBER(상세표[[#This Row],[종료]]),TEXT(상세표[[#This Row],[종료]]-1/86400,"yyyy-mm"),"")</f>
        <v/>
      </c>
      <c r="AF6" s="9">
        <f>IF(AND(상세표[[#This Row],[기록월]]&lt;&gt;"",상세표[[#This Row],[종료월]]&lt;&gt;"",상세표[[#This Row],[기록월]]&lt;&gt;상세표[[#This Row],[종료월]]),"월 넘김","")</f>
        <v/>
      </c>
      <c r="AG6" s="9">
        <f>IF(상세표[[#This Row],[사번키]]="","",IF(COUNTIF(기관표[사번키],상세표[[#This Row],[사번키]])=0,"없음","있음"))</f>
        <v/>
      </c>
      <c r="AH6" s="9">
        <f>IF(상세표[[#This Row],[기록월]]="","",_xlfn.XLOOKUP(상세표[[#This Row],[사번키]]&amp;"|"&amp;상세표[[#This Row],[기록월]],기관표[키],기관표[급여지급병원(기준월)]&amp;"",""))</f>
        <v/>
      </c>
      <c r="AI6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J6" s="9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K6" s="9">
        <f>IF(상세표[[#This Row],[기록월]]="","",IF(상세표[[#This Row],[월경계 판정]]="익월초 급여 반영",상세표[[#This Row],[종료월]],상세표[[#This Row],[기록월]]))</f>
        <v/>
      </c>
      <c r="AL6" s="9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</row>
    <row r="7">
      <c r="A7" s="7" t="inlineStr">
        <is>
          <t>ㅇㅇ과</t>
        </is>
      </c>
      <c r="B7" s="7" t="n">
        <v>2222222</v>
      </c>
      <c r="C7" s="7" t="inlineStr">
        <is>
          <t>김ㅇㅇ</t>
        </is>
      </c>
      <c r="D7" s="7" t="inlineStr">
        <is>
          <t>레지던트2</t>
        </is>
      </c>
      <c r="E7" s="7" t="inlineStr">
        <is>
          <t>2026-09-04</t>
        </is>
      </c>
      <c r="F7" s="7" t="inlineStr">
        <is>
          <t>2026-09-04 06:00</t>
        </is>
      </c>
      <c r="G7" s="7" t="inlineStr">
        <is>
          <t>2026-09-04 20:00</t>
        </is>
      </c>
      <c r="H7" s="8" t="n">
        <v>1</v>
      </c>
      <c r="I7" s="8" t="n">
        <v>11</v>
      </c>
      <c r="J7" s="8" t="n">
        <v>2</v>
      </c>
      <c r="K7" s="8" t="n">
        <v>0</v>
      </c>
      <c r="L7" s="9">
        <f>IF(TRIM(상세표[[#This Row],[사번]]&amp;"")="","","S|"&amp;TRIM(상세표[[#This Row],[사번]]&amp;""))</f>
        <v/>
      </c>
      <c r="M7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7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7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7" s="11">
        <f>IF(AND(ISNUMBER(상세표[[#This Row],[시작]]),ISNUMBER(상세표[[#This Row],[종료]]),상세표[[#This Row],[이어짐]]=""),1,0)</f>
        <v/>
      </c>
      <c r="Q7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7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7" s="12">
        <f>IF(상세표[[#This Row],[블록시작]]&lt;&gt;1,"",ROUND((상세표[[#This Row],[블록종료]]-상세표[[#This Row],[시작]])*24,2))</f>
        <v/>
      </c>
      <c r="T7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7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7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7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7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7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7" s="9">
        <f>IF(상세표[[#This Row],[블록시작]]&lt;&gt;1,"",TEXT(상세표[[#This Row],[시작]],"yyyy-mm"))</f>
        <v/>
      </c>
      <c r="AA7" s="9">
        <f>IF(상세표[[#This Row],[블록시작]]&lt;&gt;1,"",TEXT(상세표[[#This Row],[블록종료]]-1/86400,"yyyy-mm"))</f>
        <v/>
      </c>
      <c r="AB7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7" s="12">
        <f>N(상세표[[#This Row],[06~07시]])+N(상세표[[#This Row],[07~18시]])+N(상세표[[#This Row],[18~22시]])+N(상세표[[#This Row],[22~06시]])</f>
        <v/>
      </c>
      <c r="AD7" s="9">
        <f>IF(ISNUMBER(상세표[[#This Row],[시작]]),TEXT(상세표[[#This Row],[시작]],"yyyy-mm"),"")</f>
        <v/>
      </c>
      <c r="AE7" s="9">
        <f>IF(ISNUMBER(상세표[[#This Row],[종료]]),TEXT(상세표[[#This Row],[종료]]-1/86400,"yyyy-mm"),"")</f>
        <v/>
      </c>
      <c r="AF7" s="9">
        <f>IF(AND(상세표[[#This Row],[기록월]]&lt;&gt;"",상세표[[#This Row],[종료월]]&lt;&gt;"",상세표[[#This Row],[기록월]]&lt;&gt;상세표[[#This Row],[종료월]]),"월 넘김","")</f>
        <v/>
      </c>
      <c r="AG7" s="9">
        <f>IF(상세표[[#This Row],[사번키]]="","",IF(COUNTIF(기관표[사번키],상세표[[#This Row],[사번키]])=0,"없음","있음"))</f>
        <v/>
      </c>
      <c r="AH7" s="9">
        <f>IF(상세표[[#This Row],[기록월]]="","",_xlfn.XLOOKUP(상세표[[#This Row],[사번키]]&amp;"|"&amp;상세표[[#This Row],[기록월]],기관표[키],기관표[급여지급병원(기준월)]&amp;"",""))</f>
        <v/>
      </c>
      <c r="AI7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J7" s="9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K7" s="9">
        <f>IF(상세표[[#This Row],[기록월]]="","",IF(상세표[[#This Row],[월경계 판정]]="익월초 급여 반영",상세표[[#This Row],[종료월]],상세표[[#This Row],[기록월]]))</f>
        <v/>
      </c>
      <c r="AL7" s="9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</row>
    <row r="8">
      <c r="A8" s="7" t="inlineStr">
        <is>
          <t>ㅇㅇ과</t>
        </is>
      </c>
      <c r="B8" s="7" t="n">
        <v>2222222</v>
      </c>
      <c r="C8" s="7" t="inlineStr">
        <is>
          <t>김ㅇㅇ</t>
        </is>
      </c>
      <c r="D8" s="7" t="inlineStr">
        <is>
          <t>레지던트2</t>
        </is>
      </c>
      <c r="E8" s="7" t="inlineStr">
        <is>
          <t>2026-09-04</t>
        </is>
      </c>
      <c r="F8" s="7" t="inlineStr">
        <is>
          <t>2026-09-04 20:00</t>
        </is>
      </c>
      <c r="G8" s="7" t="inlineStr">
        <is>
          <t>2026-09-05 08:00</t>
        </is>
      </c>
      <c r="H8" s="8" t="n">
        <v>1</v>
      </c>
      <c r="I8" s="8" t="n">
        <v>1</v>
      </c>
      <c r="J8" s="8" t="n">
        <v>2</v>
      </c>
      <c r="K8" s="8" t="n">
        <v>8</v>
      </c>
      <c r="L8" s="9">
        <f>IF(TRIM(상세표[[#This Row],[사번]]&amp;"")="","","S|"&amp;TRIM(상세표[[#This Row],[사번]]&amp;""))</f>
        <v/>
      </c>
      <c r="M8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8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8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8" s="11">
        <f>IF(AND(ISNUMBER(상세표[[#This Row],[시작]]),ISNUMBER(상세표[[#This Row],[종료]]),상세표[[#This Row],[이어짐]]=""),1,0)</f>
        <v/>
      </c>
      <c r="Q8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8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8" s="12">
        <f>IF(상세표[[#This Row],[블록시작]]&lt;&gt;1,"",ROUND((상세표[[#This Row],[블록종료]]-상세표[[#This Row],[시작]])*24,2))</f>
        <v/>
      </c>
      <c r="T8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8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8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8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8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8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8" s="9">
        <f>IF(상세표[[#This Row],[블록시작]]&lt;&gt;1,"",TEXT(상세표[[#This Row],[시작]],"yyyy-mm"))</f>
        <v/>
      </c>
      <c r="AA8" s="9">
        <f>IF(상세표[[#This Row],[블록시작]]&lt;&gt;1,"",TEXT(상세표[[#This Row],[블록종료]]-1/86400,"yyyy-mm"))</f>
        <v/>
      </c>
      <c r="AB8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8" s="12">
        <f>N(상세표[[#This Row],[06~07시]])+N(상세표[[#This Row],[07~18시]])+N(상세표[[#This Row],[18~22시]])+N(상세표[[#This Row],[22~06시]])</f>
        <v/>
      </c>
      <c r="AD8" s="9">
        <f>IF(ISNUMBER(상세표[[#This Row],[시작]]),TEXT(상세표[[#This Row],[시작]],"yyyy-mm"),"")</f>
        <v/>
      </c>
      <c r="AE8" s="9">
        <f>IF(ISNUMBER(상세표[[#This Row],[종료]]),TEXT(상세표[[#This Row],[종료]]-1/86400,"yyyy-mm"),"")</f>
        <v/>
      </c>
      <c r="AF8" s="9">
        <f>IF(AND(상세표[[#This Row],[기록월]]&lt;&gt;"",상세표[[#This Row],[종료월]]&lt;&gt;"",상세표[[#This Row],[기록월]]&lt;&gt;상세표[[#This Row],[종료월]]),"월 넘김","")</f>
        <v/>
      </c>
      <c r="AG8" s="9">
        <f>IF(상세표[[#This Row],[사번키]]="","",IF(COUNTIF(기관표[사번키],상세표[[#This Row],[사번키]])=0,"없음","있음"))</f>
        <v/>
      </c>
      <c r="AH8" s="9">
        <f>IF(상세표[[#This Row],[기록월]]="","",_xlfn.XLOOKUP(상세표[[#This Row],[사번키]]&amp;"|"&amp;상세표[[#This Row],[기록월]],기관표[키],기관표[급여지급병원(기준월)]&amp;"",""))</f>
        <v/>
      </c>
      <c r="AI8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J8" s="9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K8" s="9">
        <f>IF(상세표[[#This Row],[기록월]]="","",IF(상세표[[#This Row],[월경계 판정]]="익월초 급여 반영",상세표[[#This Row],[종료월]],상세표[[#This Row],[기록월]]))</f>
        <v/>
      </c>
      <c r="AL8" s="9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</row>
    <row r="9">
      <c r="A9" s="7" t="inlineStr">
        <is>
          <t>ㅇㅇ과</t>
        </is>
      </c>
      <c r="B9" s="7" t="n">
        <v>2222222</v>
      </c>
      <c r="C9" s="7" t="inlineStr">
        <is>
          <t>김ㅇㅇ</t>
        </is>
      </c>
      <c r="D9" s="7" t="inlineStr">
        <is>
          <t>전임의</t>
        </is>
      </c>
      <c r="E9" s="7" t="inlineStr">
        <is>
          <t>2026-09-24</t>
        </is>
      </c>
      <c r="F9" s="7" t="inlineStr">
        <is>
          <t>2026-09-24 08:00</t>
        </is>
      </c>
      <c r="G9" s="7" t="inlineStr">
        <is>
          <t>2026-09-24 20:00</t>
        </is>
      </c>
      <c r="H9" s="8" t="n">
        <v>0</v>
      </c>
      <c r="I9" s="8" t="n">
        <v>10</v>
      </c>
      <c r="J9" s="8" t="n">
        <v>2</v>
      </c>
      <c r="K9" s="8" t="n">
        <v>0</v>
      </c>
      <c r="L9" s="9">
        <f>IF(TRIM(상세표[[#This Row],[사번]]&amp;"")="","","S|"&amp;TRIM(상세표[[#This Row],[사번]]&amp;""))</f>
        <v/>
      </c>
      <c r="M9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9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9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9" s="11">
        <f>IF(AND(ISNUMBER(상세표[[#This Row],[시작]]),ISNUMBER(상세표[[#This Row],[종료]]),상세표[[#This Row],[이어짐]]=""),1,0)</f>
        <v/>
      </c>
      <c r="Q9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9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9" s="12">
        <f>IF(상세표[[#This Row],[블록시작]]&lt;&gt;1,"",ROUND((상세표[[#This Row],[블록종료]]-상세표[[#This Row],[시작]])*24,2))</f>
        <v/>
      </c>
      <c r="T9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9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9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9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9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9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9" s="9">
        <f>IF(상세표[[#This Row],[블록시작]]&lt;&gt;1,"",TEXT(상세표[[#This Row],[시작]],"yyyy-mm"))</f>
        <v/>
      </c>
      <c r="AA9" s="9">
        <f>IF(상세표[[#This Row],[블록시작]]&lt;&gt;1,"",TEXT(상세표[[#This Row],[블록종료]]-1/86400,"yyyy-mm"))</f>
        <v/>
      </c>
      <c r="AB9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9" s="12">
        <f>N(상세표[[#This Row],[06~07시]])+N(상세표[[#This Row],[07~18시]])+N(상세표[[#This Row],[18~22시]])+N(상세표[[#This Row],[22~06시]])</f>
        <v/>
      </c>
      <c r="AD9" s="9">
        <f>IF(ISNUMBER(상세표[[#This Row],[시작]]),TEXT(상세표[[#This Row],[시작]],"yyyy-mm"),"")</f>
        <v/>
      </c>
      <c r="AE9" s="9">
        <f>IF(ISNUMBER(상세표[[#This Row],[종료]]),TEXT(상세표[[#This Row],[종료]]-1/86400,"yyyy-mm"),"")</f>
        <v/>
      </c>
      <c r="AF9" s="9">
        <f>IF(AND(상세표[[#This Row],[기록월]]&lt;&gt;"",상세표[[#This Row],[종료월]]&lt;&gt;"",상세표[[#This Row],[기록월]]&lt;&gt;상세표[[#This Row],[종료월]]),"월 넘김","")</f>
        <v/>
      </c>
      <c r="AG9" s="9">
        <f>IF(상세표[[#This Row],[사번키]]="","",IF(COUNTIF(기관표[사번키],상세표[[#This Row],[사번키]])=0,"없음","있음"))</f>
        <v/>
      </c>
      <c r="AH9" s="9">
        <f>IF(상세표[[#This Row],[기록월]]="","",_xlfn.XLOOKUP(상세표[[#This Row],[사번키]]&amp;"|"&amp;상세표[[#This Row],[기록월]],기관표[키],기관표[급여지급병원(기준월)]&amp;"",""))</f>
        <v/>
      </c>
      <c r="AI9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J9" s="9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K9" s="9">
        <f>IF(상세표[[#This Row],[기록월]]="","",IF(상세표[[#This Row],[월경계 판정]]="익월초 급여 반영",상세표[[#This Row],[종료월]],상세표[[#This Row],[기록월]]))</f>
        <v/>
      </c>
      <c r="AL9" s="9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</row>
    <row r="10">
      <c r="A10" s="7" t="inlineStr">
        <is>
          <t>ㅇㅇ과</t>
        </is>
      </c>
      <c r="B10" s="7" t="n">
        <v>2222222</v>
      </c>
      <c r="C10" s="7" t="inlineStr">
        <is>
          <t>김ㅇㅇ</t>
        </is>
      </c>
      <c r="D10" s="7" t="inlineStr">
        <is>
          <t>레지던트2</t>
        </is>
      </c>
      <c r="E10" s="7" t="inlineStr">
        <is>
          <t>2026-09-30</t>
        </is>
      </c>
      <c r="F10" s="7" t="inlineStr">
        <is>
          <t>2026-09-30 20:00</t>
        </is>
      </c>
      <c r="G10" s="7" t="inlineStr">
        <is>
          <t>2026-10-01 08:00</t>
        </is>
      </c>
      <c r="H10" s="8" t="n">
        <v>1</v>
      </c>
      <c r="I10" s="8" t="n">
        <v>1</v>
      </c>
      <c r="J10" s="8" t="n">
        <v>2</v>
      </c>
      <c r="K10" s="8" t="n">
        <v>8</v>
      </c>
      <c r="L10" s="9">
        <f>IF(TRIM(상세표[[#This Row],[사번]]&amp;"")="","","S|"&amp;TRIM(상세표[[#This Row],[사번]]&amp;""))</f>
        <v/>
      </c>
      <c r="M10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10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10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10" s="11">
        <f>IF(AND(ISNUMBER(상세표[[#This Row],[시작]]),ISNUMBER(상세표[[#This Row],[종료]]),상세표[[#This Row],[이어짐]]=""),1,0)</f>
        <v/>
      </c>
      <c r="Q10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10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10" s="12">
        <f>IF(상세표[[#This Row],[블록시작]]&lt;&gt;1,"",ROUND((상세표[[#This Row],[블록종료]]-상세표[[#This Row],[시작]])*24,2))</f>
        <v/>
      </c>
      <c r="T10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10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0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0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0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0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10" s="9">
        <f>IF(상세표[[#This Row],[블록시작]]&lt;&gt;1,"",TEXT(상세표[[#This Row],[시작]],"yyyy-mm"))</f>
        <v/>
      </c>
      <c r="AA10" s="9">
        <f>IF(상세표[[#This Row],[블록시작]]&lt;&gt;1,"",TEXT(상세표[[#This Row],[블록종료]]-1/86400,"yyyy-mm"))</f>
        <v/>
      </c>
      <c r="AB10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10" s="12">
        <f>N(상세표[[#This Row],[06~07시]])+N(상세표[[#This Row],[07~18시]])+N(상세표[[#This Row],[18~22시]])+N(상세표[[#This Row],[22~06시]])</f>
        <v/>
      </c>
      <c r="AD10" s="9">
        <f>IF(ISNUMBER(상세표[[#This Row],[시작]]),TEXT(상세표[[#This Row],[시작]],"yyyy-mm"),"")</f>
        <v/>
      </c>
      <c r="AE10" s="9">
        <f>IF(ISNUMBER(상세표[[#This Row],[종료]]),TEXT(상세표[[#This Row],[종료]]-1/86400,"yyyy-mm"),"")</f>
        <v/>
      </c>
      <c r="AF10" s="9">
        <f>IF(AND(상세표[[#This Row],[기록월]]&lt;&gt;"",상세표[[#This Row],[종료월]]&lt;&gt;"",상세표[[#This Row],[기록월]]&lt;&gt;상세표[[#This Row],[종료월]]),"월 넘김","")</f>
        <v/>
      </c>
      <c r="AG10" s="9">
        <f>IF(상세표[[#This Row],[사번키]]="","",IF(COUNTIF(기관표[사번키],상세표[[#This Row],[사번키]])=0,"없음","있음"))</f>
        <v/>
      </c>
      <c r="AH10" s="9">
        <f>IF(상세표[[#This Row],[기록월]]="","",_xlfn.XLOOKUP(상세표[[#This Row],[사번키]]&amp;"|"&amp;상세표[[#This Row],[기록월]],기관표[키],기관표[급여지급병원(기준월)]&amp;"",""))</f>
        <v/>
      </c>
      <c r="AI10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J10" s="9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K10" s="9">
        <f>IF(상세표[[#This Row],[기록월]]="","",IF(상세표[[#This Row],[월경계 판정]]="익월초 급여 반영",상세표[[#This Row],[종료월]],상세표[[#This Row],[기록월]]))</f>
        <v/>
      </c>
      <c r="AL10" s="9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</row>
    <row r="11">
      <c r="A11" s="7" t="inlineStr">
        <is>
          <t>수련교육부</t>
        </is>
      </c>
      <c r="B11" s="7" t="n">
        <v>3333333</v>
      </c>
      <c r="C11" s="7" t="inlineStr">
        <is>
          <t>이ㅇㅇ</t>
        </is>
      </c>
      <c r="D11" s="7" t="inlineStr">
        <is>
          <t>인턴</t>
        </is>
      </c>
      <c r="E11" s="7" t="inlineStr">
        <is>
          <t>2026-08-31</t>
        </is>
      </c>
      <c r="F11" s="7" t="inlineStr">
        <is>
          <t>2026-08-31 20:00</t>
        </is>
      </c>
      <c r="G11" s="7" t="inlineStr">
        <is>
          <t>2026-09-01 08:00</t>
        </is>
      </c>
      <c r="H11" s="8" t="n">
        <v>1</v>
      </c>
      <c r="I11" s="8" t="n">
        <v>1</v>
      </c>
      <c r="J11" s="8" t="n">
        <v>2</v>
      </c>
      <c r="K11" s="8" t="n">
        <v>8</v>
      </c>
      <c r="L11" s="9">
        <f>IF(TRIM(상세표[[#This Row],[사번]]&amp;"")="","","S|"&amp;TRIM(상세표[[#This Row],[사번]]&amp;""))</f>
        <v/>
      </c>
      <c r="M11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11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11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11" s="11">
        <f>IF(AND(ISNUMBER(상세표[[#This Row],[시작]]),ISNUMBER(상세표[[#This Row],[종료]]),상세표[[#This Row],[이어짐]]=""),1,0)</f>
        <v/>
      </c>
      <c r="Q11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11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11" s="12">
        <f>IF(상세표[[#This Row],[블록시작]]&lt;&gt;1,"",ROUND((상세표[[#This Row],[블록종료]]-상세표[[#This Row],[시작]])*24,2))</f>
        <v/>
      </c>
      <c r="T11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11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1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1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1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1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11" s="9">
        <f>IF(상세표[[#This Row],[블록시작]]&lt;&gt;1,"",TEXT(상세표[[#This Row],[시작]],"yyyy-mm"))</f>
        <v/>
      </c>
      <c r="AA11" s="9">
        <f>IF(상세표[[#This Row],[블록시작]]&lt;&gt;1,"",TEXT(상세표[[#This Row],[블록종료]]-1/86400,"yyyy-mm"))</f>
        <v/>
      </c>
      <c r="AB11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11" s="12">
        <f>N(상세표[[#This Row],[06~07시]])+N(상세표[[#This Row],[07~18시]])+N(상세표[[#This Row],[18~22시]])+N(상세표[[#This Row],[22~06시]])</f>
        <v/>
      </c>
      <c r="AD11" s="9">
        <f>IF(ISNUMBER(상세표[[#This Row],[시작]]),TEXT(상세표[[#This Row],[시작]],"yyyy-mm"),"")</f>
        <v/>
      </c>
      <c r="AE11" s="9">
        <f>IF(ISNUMBER(상세표[[#This Row],[종료]]),TEXT(상세표[[#This Row],[종료]]-1/86400,"yyyy-mm"),"")</f>
        <v/>
      </c>
      <c r="AF11" s="9">
        <f>IF(AND(상세표[[#This Row],[기록월]]&lt;&gt;"",상세표[[#This Row],[종료월]]&lt;&gt;"",상세표[[#This Row],[기록월]]&lt;&gt;상세표[[#This Row],[종료월]]),"월 넘김","")</f>
        <v/>
      </c>
      <c r="AG11" s="9">
        <f>IF(상세표[[#This Row],[사번키]]="","",IF(COUNTIF(기관표[사번키],상세표[[#This Row],[사번키]])=0,"없음","있음"))</f>
        <v/>
      </c>
      <c r="AH11" s="9">
        <f>IF(상세표[[#This Row],[기록월]]="","",_xlfn.XLOOKUP(상세표[[#This Row],[사번키]]&amp;"|"&amp;상세표[[#This Row],[기록월]],기관표[키],기관표[급여지급병원(기준월)]&amp;"",""))</f>
        <v/>
      </c>
      <c r="AI11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J11" s="9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K11" s="9">
        <f>IF(상세표[[#This Row],[기록월]]="","",IF(상세표[[#This Row],[월경계 판정]]="익월초 급여 반영",상세표[[#This Row],[종료월]],상세표[[#This Row],[기록월]]))</f>
        <v/>
      </c>
      <c r="AL11" s="9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</row>
    <row r="12">
      <c r="A12" s="7" t="inlineStr">
        <is>
          <t>수련교육부</t>
        </is>
      </c>
      <c r="B12" s="7" t="n">
        <v>3333333</v>
      </c>
      <c r="C12" s="7" t="inlineStr">
        <is>
          <t>이ㅇㅇ</t>
        </is>
      </c>
      <c r="D12" s="7" t="inlineStr">
        <is>
          <t>인턴</t>
        </is>
      </c>
      <c r="E12" s="7" t="inlineStr">
        <is>
          <t>2026-09-07</t>
        </is>
      </c>
      <c r="F12" s="7" t="inlineStr">
        <is>
          <t>2026-09-07 18:00</t>
        </is>
      </c>
      <c r="G12" s="7" t="inlineStr">
        <is>
          <t>2026-09-07 22:00</t>
        </is>
      </c>
      <c r="H12" s="8" t="n">
        <v>0</v>
      </c>
      <c r="I12" s="8" t="n">
        <v>0</v>
      </c>
      <c r="J12" s="8" t="n">
        <v>4</v>
      </c>
      <c r="K12" s="8" t="n">
        <v>0</v>
      </c>
      <c r="L12" s="9">
        <f>IF(TRIM(상세표[[#This Row],[사번]]&amp;"")="","","S|"&amp;TRIM(상세표[[#This Row],[사번]]&amp;""))</f>
        <v/>
      </c>
      <c r="M12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12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12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12" s="11">
        <f>IF(AND(ISNUMBER(상세표[[#This Row],[시작]]),ISNUMBER(상세표[[#This Row],[종료]]),상세표[[#This Row],[이어짐]]=""),1,0)</f>
        <v/>
      </c>
      <c r="Q12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12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12" s="12">
        <f>IF(상세표[[#This Row],[블록시작]]&lt;&gt;1,"",ROUND((상세표[[#This Row],[블록종료]]-상세표[[#This Row],[시작]])*24,2))</f>
        <v/>
      </c>
      <c r="T12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12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2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2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2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2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12" s="9">
        <f>IF(상세표[[#This Row],[블록시작]]&lt;&gt;1,"",TEXT(상세표[[#This Row],[시작]],"yyyy-mm"))</f>
        <v/>
      </c>
      <c r="AA12" s="9">
        <f>IF(상세표[[#This Row],[블록시작]]&lt;&gt;1,"",TEXT(상세표[[#This Row],[블록종료]]-1/86400,"yyyy-mm"))</f>
        <v/>
      </c>
      <c r="AB12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12" s="12">
        <f>N(상세표[[#This Row],[06~07시]])+N(상세표[[#This Row],[07~18시]])+N(상세표[[#This Row],[18~22시]])+N(상세표[[#This Row],[22~06시]])</f>
        <v/>
      </c>
      <c r="AD12" s="9">
        <f>IF(ISNUMBER(상세표[[#This Row],[시작]]),TEXT(상세표[[#This Row],[시작]],"yyyy-mm"),"")</f>
        <v/>
      </c>
      <c r="AE12" s="9">
        <f>IF(ISNUMBER(상세표[[#This Row],[종료]]),TEXT(상세표[[#This Row],[종료]]-1/86400,"yyyy-mm"),"")</f>
        <v/>
      </c>
      <c r="AF12" s="9">
        <f>IF(AND(상세표[[#This Row],[기록월]]&lt;&gt;"",상세표[[#This Row],[종료월]]&lt;&gt;"",상세표[[#This Row],[기록월]]&lt;&gt;상세표[[#This Row],[종료월]]),"월 넘김","")</f>
        <v/>
      </c>
      <c r="AG12" s="9">
        <f>IF(상세표[[#This Row],[사번키]]="","",IF(COUNTIF(기관표[사번키],상세표[[#This Row],[사번키]])=0,"없음","있음"))</f>
        <v/>
      </c>
      <c r="AH12" s="9">
        <f>IF(상세표[[#This Row],[기록월]]="","",_xlfn.XLOOKUP(상세표[[#This Row],[사번키]]&amp;"|"&amp;상세표[[#This Row],[기록월]],기관표[키],기관표[급여지급병원(기준월)]&amp;"",""))</f>
        <v/>
      </c>
      <c r="AI12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J12" s="9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K12" s="9">
        <f>IF(상세표[[#This Row],[기록월]]="","",IF(상세표[[#This Row],[월경계 판정]]="익월초 급여 반영",상세표[[#This Row],[종료월]],상세표[[#This Row],[기록월]]))</f>
        <v/>
      </c>
      <c r="AL12" s="9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</row>
    <row r="13">
      <c r="A13" s="7" t="inlineStr">
        <is>
          <t>수련교육부</t>
        </is>
      </c>
      <c r="B13" s="7" t="n">
        <v>3333333</v>
      </c>
      <c r="C13" s="7" t="inlineStr">
        <is>
          <t>이ㅇㅇ</t>
        </is>
      </c>
      <c r="D13" s="7" t="inlineStr">
        <is>
          <t>인턴</t>
        </is>
      </c>
      <c r="E13" s="7" t="inlineStr">
        <is>
          <t>2026-09-07</t>
        </is>
      </c>
      <c r="F13" s="7" t="inlineStr">
        <is>
          <t>2026-09-07 07:00</t>
        </is>
      </c>
      <c r="G13" s="7" t="inlineStr">
        <is>
          <t>2026-09-07 18:00</t>
        </is>
      </c>
      <c r="H13" s="8" t="n">
        <v>0</v>
      </c>
      <c r="I13" s="8" t="n">
        <v>11</v>
      </c>
      <c r="J13" s="8" t="n">
        <v>0</v>
      </c>
      <c r="K13" s="8" t="n">
        <v>0</v>
      </c>
      <c r="L13" s="9">
        <f>IF(TRIM(상세표[[#This Row],[사번]]&amp;"")="","","S|"&amp;TRIM(상세표[[#This Row],[사번]]&amp;""))</f>
        <v/>
      </c>
      <c r="M13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13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13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13" s="11">
        <f>IF(AND(ISNUMBER(상세표[[#This Row],[시작]]),ISNUMBER(상세표[[#This Row],[종료]]),상세표[[#This Row],[이어짐]]=""),1,0)</f>
        <v/>
      </c>
      <c r="Q13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13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13" s="12">
        <f>IF(상세표[[#This Row],[블록시작]]&lt;&gt;1,"",ROUND((상세표[[#This Row],[블록종료]]-상세표[[#This Row],[시작]])*24,2))</f>
        <v/>
      </c>
      <c r="T13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13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3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3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3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3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13" s="9">
        <f>IF(상세표[[#This Row],[블록시작]]&lt;&gt;1,"",TEXT(상세표[[#This Row],[시작]],"yyyy-mm"))</f>
        <v/>
      </c>
      <c r="AA13" s="9">
        <f>IF(상세표[[#This Row],[블록시작]]&lt;&gt;1,"",TEXT(상세표[[#This Row],[블록종료]]-1/86400,"yyyy-mm"))</f>
        <v/>
      </c>
      <c r="AB13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13" s="12">
        <f>N(상세표[[#This Row],[06~07시]])+N(상세표[[#This Row],[07~18시]])+N(상세표[[#This Row],[18~22시]])+N(상세표[[#This Row],[22~06시]])</f>
        <v/>
      </c>
      <c r="AD13" s="9">
        <f>IF(ISNUMBER(상세표[[#This Row],[시작]]),TEXT(상세표[[#This Row],[시작]],"yyyy-mm"),"")</f>
        <v/>
      </c>
      <c r="AE13" s="9">
        <f>IF(ISNUMBER(상세표[[#This Row],[종료]]),TEXT(상세표[[#This Row],[종료]]-1/86400,"yyyy-mm"),"")</f>
        <v/>
      </c>
      <c r="AF13" s="9">
        <f>IF(AND(상세표[[#This Row],[기록월]]&lt;&gt;"",상세표[[#This Row],[종료월]]&lt;&gt;"",상세표[[#This Row],[기록월]]&lt;&gt;상세표[[#This Row],[종료월]]),"월 넘김","")</f>
        <v/>
      </c>
      <c r="AG13" s="9">
        <f>IF(상세표[[#This Row],[사번키]]="","",IF(COUNTIF(기관표[사번키],상세표[[#This Row],[사번키]])=0,"없음","있음"))</f>
        <v/>
      </c>
      <c r="AH13" s="9">
        <f>IF(상세표[[#This Row],[기록월]]="","",_xlfn.XLOOKUP(상세표[[#This Row],[사번키]]&amp;"|"&amp;상세표[[#This Row],[기록월]],기관표[키],기관표[급여지급병원(기준월)]&amp;"",""))</f>
        <v/>
      </c>
      <c r="AI13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J13" s="9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K13" s="9">
        <f>IF(상세표[[#This Row],[기록월]]="","",IF(상세표[[#This Row],[월경계 판정]]="익월초 급여 반영",상세표[[#This Row],[종료월]],상세표[[#This Row],[기록월]]))</f>
        <v/>
      </c>
      <c r="AL13" s="9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</row>
    <row r="14">
      <c r="A14" s="7" t="inlineStr">
        <is>
          <t>수련교육부</t>
        </is>
      </c>
      <c r="B14" s="7" t="n">
        <v>4444444</v>
      </c>
      <c r="C14" s="7" t="inlineStr">
        <is>
          <t>박ㅇㅇ</t>
        </is>
      </c>
      <c r="D14" s="7" t="inlineStr">
        <is>
          <t>인턴</t>
        </is>
      </c>
      <c r="E14" s="7" t="inlineStr">
        <is>
          <t>2026-09-30</t>
        </is>
      </c>
      <c r="F14" s="7" t="inlineStr">
        <is>
          <t>2026-09-30 20:00</t>
        </is>
      </c>
      <c r="G14" s="7" t="inlineStr">
        <is>
          <t>2026-10-01 08:00</t>
        </is>
      </c>
      <c r="H14" s="8" t="n">
        <v>1</v>
      </c>
      <c r="I14" s="8" t="n">
        <v>1</v>
      </c>
      <c r="J14" s="8" t="n">
        <v>2</v>
      </c>
      <c r="K14" s="8" t="n">
        <v>8</v>
      </c>
      <c r="L14" s="9">
        <f>IF(TRIM(상세표[[#This Row],[사번]]&amp;"")="","","S|"&amp;TRIM(상세표[[#This Row],[사번]]&amp;""))</f>
        <v/>
      </c>
      <c r="M14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14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14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14" s="11">
        <f>IF(AND(ISNUMBER(상세표[[#This Row],[시작]]),ISNUMBER(상세표[[#This Row],[종료]]),상세표[[#This Row],[이어짐]]=""),1,0)</f>
        <v/>
      </c>
      <c r="Q14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14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14" s="12">
        <f>IF(상세표[[#This Row],[블록시작]]&lt;&gt;1,"",ROUND((상세표[[#This Row],[블록종료]]-상세표[[#This Row],[시작]])*24,2))</f>
        <v/>
      </c>
      <c r="T14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14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4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4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4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4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14" s="9">
        <f>IF(상세표[[#This Row],[블록시작]]&lt;&gt;1,"",TEXT(상세표[[#This Row],[시작]],"yyyy-mm"))</f>
        <v/>
      </c>
      <c r="AA14" s="9">
        <f>IF(상세표[[#This Row],[블록시작]]&lt;&gt;1,"",TEXT(상세표[[#This Row],[블록종료]]-1/86400,"yyyy-mm"))</f>
        <v/>
      </c>
      <c r="AB14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14" s="12">
        <f>N(상세표[[#This Row],[06~07시]])+N(상세표[[#This Row],[07~18시]])+N(상세표[[#This Row],[18~22시]])+N(상세표[[#This Row],[22~06시]])</f>
        <v/>
      </c>
      <c r="AD14" s="9">
        <f>IF(ISNUMBER(상세표[[#This Row],[시작]]),TEXT(상세표[[#This Row],[시작]],"yyyy-mm"),"")</f>
        <v/>
      </c>
      <c r="AE14" s="9">
        <f>IF(ISNUMBER(상세표[[#This Row],[종료]]),TEXT(상세표[[#This Row],[종료]]-1/86400,"yyyy-mm"),"")</f>
        <v/>
      </c>
      <c r="AF14" s="9">
        <f>IF(AND(상세표[[#This Row],[기록월]]&lt;&gt;"",상세표[[#This Row],[종료월]]&lt;&gt;"",상세표[[#This Row],[기록월]]&lt;&gt;상세표[[#This Row],[종료월]]),"월 넘김","")</f>
        <v/>
      </c>
      <c r="AG14" s="9">
        <f>IF(상세표[[#This Row],[사번키]]="","",IF(COUNTIF(기관표[사번키],상세표[[#This Row],[사번키]])=0,"없음","있음"))</f>
        <v/>
      </c>
      <c r="AH14" s="9">
        <f>IF(상세표[[#This Row],[기록월]]="","",_xlfn.XLOOKUP(상세표[[#This Row],[사번키]]&amp;"|"&amp;상세표[[#This Row],[기록월]],기관표[키],기관표[급여지급병원(기준월)]&amp;"",""))</f>
        <v/>
      </c>
      <c r="AI14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J14" s="9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K14" s="9">
        <f>IF(상세표[[#This Row],[기록월]]="","",IF(상세표[[#This Row],[월경계 판정]]="익월초 급여 반영",상세표[[#This Row],[종료월]],상세표[[#This Row],[기록월]]))</f>
        <v/>
      </c>
      <c r="AL14" s="9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</row>
    <row r="15">
      <c r="A15" s="7" t="inlineStr">
        <is>
          <t>△△과</t>
        </is>
      </c>
      <c r="B15" s="7" t="n">
        <v>5555555</v>
      </c>
      <c r="C15" s="7" t="inlineStr">
        <is>
          <t>정ㅇㅇ</t>
        </is>
      </c>
      <c r="D15" s="7" t="inlineStr">
        <is>
          <t>레지던트3</t>
        </is>
      </c>
      <c r="E15" s="7" t="inlineStr">
        <is>
          <t>2026-09-10</t>
        </is>
      </c>
      <c r="F15" s="7" t="inlineStr">
        <is>
          <t>2026-09-10 08:00</t>
        </is>
      </c>
      <c r="G15" s="7" t="inlineStr">
        <is>
          <t>2026-09-10 20:00</t>
        </is>
      </c>
      <c r="H15" s="8" t="n">
        <v>0</v>
      </c>
      <c r="I15" s="8" t="n">
        <v>10</v>
      </c>
      <c r="J15" s="8" t="n">
        <v>2</v>
      </c>
      <c r="K15" s="8" t="n">
        <v>0</v>
      </c>
      <c r="L15" s="9">
        <f>IF(TRIM(상세표[[#This Row],[사번]]&amp;"")="","","S|"&amp;TRIM(상세표[[#This Row],[사번]]&amp;""))</f>
        <v/>
      </c>
      <c r="M15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15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15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15" s="11">
        <f>IF(AND(ISNUMBER(상세표[[#This Row],[시작]]),ISNUMBER(상세표[[#This Row],[종료]]),상세표[[#This Row],[이어짐]]=""),1,0)</f>
        <v/>
      </c>
      <c r="Q15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15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15" s="12">
        <f>IF(상세표[[#This Row],[블록시작]]&lt;&gt;1,"",ROUND((상세표[[#This Row],[블록종료]]-상세표[[#This Row],[시작]])*24,2))</f>
        <v/>
      </c>
      <c r="T15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15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5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5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5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5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15" s="9">
        <f>IF(상세표[[#This Row],[블록시작]]&lt;&gt;1,"",TEXT(상세표[[#This Row],[시작]],"yyyy-mm"))</f>
        <v/>
      </c>
      <c r="AA15" s="9">
        <f>IF(상세표[[#This Row],[블록시작]]&lt;&gt;1,"",TEXT(상세표[[#This Row],[블록종료]]-1/86400,"yyyy-mm"))</f>
        <v/>
      </c>
      <c r="AB15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15" s="12">
        <f>N(상세표[[#This Row],[06~07시]])+N(상세표[[#This Row],[07~18시]])+N(상세표[[#This Row],[18~22시]])+N(상세표[[#This Row],[22~06시]])</f>
        <v/>
      </c>
      <c r="AD15" s="9">
        <f>IF(ISNUMBER(상세표[[#This Row],[시작]]),TEXT(상세표[[#This Row],[시작]],"yyyy-mm"),"")</f>
        <v/>
      </c>
      <c r="AE15" s="9">
        <f>IF(ISNUMBER(상세표[[#This Row],[종료]]),TEXT(상세표[[#This Row],[종료]]-1/86400,"yyyy-mm"),"")</f>
        <v/>
      </c>
      <c r="AF15" s="9">
        <f>IF(AND(상세표[[#This Row],[기록월]]&lt;&gt;"",상세표[[#This Row],[종료월]]&lt;&gt;"",상세표[[#This Row],[기록월]]&lt;&gt;상세표[[#This Row],[종료월]]),"월 넘김","")</f>
        <v/>
      </c>
      <c r="AG15" s="9">
        <f>IF(상세표[[#This Row],[사번키]]="","",IF(COUNTIF(기관표[사번키],상세표[[#This Row],[사번키]])=0,"없음","있음"))</f>
        <v/>
      </c>
      <c r="AH15" s="9">
        <f>IF(상세표[[#This Row],[기록월]]="","",_xlfn.XLOOKUP(상세표[[#This Row],[사번키]]&amp;"|"&amp;상세표[[#This Row],[기록월]],기관표[키],기관표[급여지급병원(기준월)]&amp;"",""))</f>
        <v/>
      </c>
      <c r="AI15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J15" s="9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K15" s="9">
        <f>IF(상세표[[#This Row],[기록월]]="","",IF(상세표[[#This Row],[월경계 판정]]="익월초 급여 반영",상세표[[#This Row],[종료월]],상세표[[#This Row],[기록월]]))</f>
        <v/>
      </c>
      <c r="AL15" s="9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</row>
    <row r="16">
      <c r="A16" s="7" t="inlineStr">
        <is>
          <t>△△과</t>
        </is>
      </c>
      <c r="B16" s="7" t="n">
        <v>5555555</v>
      </c>
      <c r="C16" s="7" t="inlineStr">
        <is>
          <t>정ㅇㅇ</t>
        </is>
      </c>
      <c r="D16" s="7" t="inlineStr">
        <is>
          <t>레지던트3</t>
        </is>
      </c>
      <c r="E16" s="7" t="inlineStr">
        <is>
          <t>2026-09-10</t>
        </is>
      </c>
      <c r="F16" s="7" t="inlineStr">
        <is>
          <t>2026-09-10 20:00</t>
        </is>
      </c>
      <c r="G16" s="7" t="inlineStr">
        <is>
          <t>2026-09-11 08:00</t>
        </is>
      </c>
      <c r="H16" s="8" t="n">
        <v>1</v>
      </c>
      <c r="I16" s="8" t="n">
        <v>1</v>
      </c>
      <c r="J16" s="8" t="n">
        <v>2</v>
      </c>
      <c r="K16" s="8" t="n">
        <v>8</v>
      </c>
      <c r="L16" s="9">
        <f>IF(TRIM(상세표[[#This Row],[사번]]&amp;"")="","","S|"&amp;TRIM(상세표[[#This Row],[사번]]&amp;""))</f>
        <v/>
      </c>
      <c r="M16" s="10">
        <f>_xlfn.LET(_xlpm.v_x,상세표[[#This Row],[시작시간]],IF(ISNUMBER(_xlpm.v_x),_xlpm.v_x,IF(TRIM(_xlpm.v_x&amp;"")="","",IFERROR(VALUE(TRIM(_xlpm.v_x)),IFERROR(DATEVALUE(LEFT(TRIM(_xlpm.v_x),10))+VALUE(MID(TRIM(_xlpm.v_x),12,2))/24+VALUE(MID(TRIM(_xlpm.v_x),15,2))/1440,"⚠"&amp;_xlpm.v_x)))))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N16" s="10">
        <f>_xlfn.LET(_xlpm.v_x,상세표[[#This Row],[종료시간]],IF(ISNUMBER(_xlpm.v_x),_xlpm.v_x,IF(TRIM(_xlpm.v_x&amp;"")="","",IFERROR(VALUE(TRIM(_xlpm.v_x)),IFERROR(DATEVALUE(LEFT(TRIM(_xlpm.v_x),10))+VALUE(MID(TRIM(_xlpm.v_x),12,2))/24+VALUE(MID(TRIM(_xlpm.v_x),15,2))/1440,"⚠"&amp;_xlpm.v_x)))))</f>
        <v/>
      </c>
      <c r="O16" s="9">
        <f>IF(NOT(ISNUMBER(상세표[[#This Row],[시작]])),"",IF(COUNTIFS(상세표[사번키],상세표[[#This Row],[사번키]],상세표[시작],"&lt;"&amp;(상세표[[#This Row],[시작]]-1/86400),상세표[종료],"&gt;="&amp;(상세표[[#This Row],[시작]]-연속허용분/1440-1/86400))&gt;0,"이어짐",""))</f>
        <v/>
      </c>
      <c r="P16" s="11">
        <f>IF(AND(ISNUMBER(상세표[[#This Row],[시작]]),ISNUMBER(상세표[[#This Row],[종료]]),상세표[[#This Row],[이어짐]]=""),1,0)</f>
        <v/>
      </c>
      <c r="Q16" s="10">
        <f>IF(상세표[[#This Row],[블록시작]]&lt;&gt;1,"",_xlfn.LET(_xlpm.v_n,_xlfn.MINIFS(상세표[시작],상세표[사번키],상세표[[#This Row],[사번키]],상세표[블록시작],1,상세표[시작],"&gt;"&amp;(상세표[[#This Row],[시작]]+1/86400)),IF(_xlpm.v_n=0,"",_xlpm.v_n)))</f>
        <v/>
      </c>
      <c r="R16" s="10">
        <f>IF(상세표[[#This Row],[블록시작]]&lt;&gt;1,"",_xlfn.MAXIFS(상세표[종료],상세표[사번키],상세표[[#This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S16" s="12">
        <f>IF(상세표[[#This Row],[블록시작]]&lt;&gt;1,"",ROUND((상세표[[#This Row],[블록종료]]-상세표[[#This Row],[시작]])*24,2))</f>
        <v/>
      </c>
      <c r="T16" s="11">
        <f>IF(상세표[[#This Row],[블록시작]]&lt;&gt;1,"",COUNTIFS(상세표[사번키],상세표[[#This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U16" s="12">
        <f>IF(상세표[[#This Row],[블록시작]]&lt;&gt;1,"",SUMIFS(상세표[06~07시],상세표[사번키],상세표[[#This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V16" s="12">
        <f>IF(상세표[[#This Row],[블록시작]]&lt;&gt;1,"",SUMIFS(상세표[07~18시],상세표[사번키],상세표[[#This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W16" s="12">
        <f>IF(상세표[[#This Row],[블록시작]]&lt;&gt;1,"",SUMIFS(상세표[18~22시],상세표[사번키],상세표[[#This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X16" s="12">
        <f>IF(상세표[[#This Row],[블록시작]]&lt;&gt;1,"",SUMIFS(상세표[22~06시],상세표[사번키],상세표[[#This Row],[사번키]],상세표[시작],"&gt;="&amp;(상세표[[#This Row],[시작]]-1/86400),상세표[시작],"&lt;"&amp;(IF(상세표[[#This Row],[다음블록시작]]="",1E+9,상세표[[#This Row],[다음블록시작]])-1/86400)))</f>
        <v/>
      </c>
      <c r="Y16" s="9">
        <f>IF(상세표[[#This Row],[블록시작]]&lt;&gt;1,"",_xlfn.LET(_xlpm.v_a,INT(상세표[[#This Row],[시작]]),_xlpm.v_b,INT(상세표[[#This Row],[블록종료]]-1/86400),IF((_xlpm.v_b-_xlpm.v_a+1)-NETWORKDAYS(_xlpm.v_a,_xlpm.v_b,공휴일목록)&gt;0,"포함","")))</f>
        <v/>
      </c>
      <c r="Z16" s="9">
        <f>IF(상세표[[#This Row],[블록시작]]&lt;&gt;1,"",TEXT(상세표[[#This Row],[시작]],"yyyy-mm"))</f>
        <v/>
      </c>
      <c r="AA16" s="9">
        <f>IF(상세표[[#This Row],[블록시작]]&lt;&gt;1,"",TEXT(상세표[[#This Row],[블록종료]]-1/86400,"yyyy-mm"))</f>
        <v/>
      </c>
      <c r="AB16" s="9">
        <f>IF(상세표[[#This Row],[블록시작]]&lt;&gt;1,"",IF(COUNTIFS(상세표[사번키],상세표[[#This Row],[사번키]],상세표[시작],"&gt;="&amp;(상세표[[#This Row],[시작]]-1/86400),상세표[시작],"&lt;"&amp;(IF(상세표[[#This Row],[다음블록시작]]="",1E+9,상세표[[#This Row],[다음블록시작]])-1/86400),상세표[월 넘김],"월 넘김")&gt;0,"포함",""))</f>
        <v/>
      </c>
      <c r="AC16" s="12">
        <f>N(상세표[[#This Row],[06~07시]])+N(상세표[[#This Row],[07~18시]])+N(상세표[[#This Row],[18~22시]])+N(상세표[[#This Row],[22~06시]])</f>
        <v/>
      </c>
      <c r="AD16" s="9">
        <f>IF(ISNUMBER(상세표[[#This Row],[시작]]),TEXT(상세표[[#This Row],[시작]],"yyyy-mm"),"")</f>
        <v/>
      </c>
      <c r="AE16" s="9">
        <f>IF(ISNUMBER(상세표[[#This Row],[종료]]),TEXT(상세표[[#This Row],[종료]]-1/86400,"yyyy-mm"),"")</f>
        <v/>
      </c>
      <c r="AF16" s="9">
        <f>IF(AND(상세표[[#This Row],[기록월]]&lt;&gt;"",상세표[[#This Row],[종료월]]&lt;&gt;"",상세표[[#This Row],[기록월]]&lt;&gt;상세표[[#This Row],[종료월]]),"월 넘김","")</f>
        <v/>
      </c>
      <c r="AG16" s="9">
        <f>IF(상세표[[#This Row],[사번키]]="","",IF(COUNTIF(기관표[사번키],상세표[[#This Row],[사번키]])=0,"없음","있음"))</f>
        <v/>
      </c>
      <c r="AH16" s="9">
        <f>IF(상세표[[#This Row],[기록월]]="","",_xlfn.XLOOKUP(상세표[[#This Row],[사번키]]&amp;"|"&amp;상세표[[#This Row],[기록월]],기관표[키],기관표[급여지급병원(기준월)]&amp;"",""))</f>
        <v/>
      </c>
      <c r="AI16" s="9">
        <f>IF(상세표[[#This Row],[월 넘김]]="",상세표[[#This Row],[시작월 기관]],_xlfn.XLOOKUP(상세표[[#This Row],[사번키]]&amp;"|"&amp;상세표[[#This Row],[종료월]],기관표[키],기관표[급여지급병원(기준월)]&amp;"",""))</f>
        <v/>
      </c>
      <c r="AJ16" s="9">
        <f>IF(상세표[[#This Row],[월 넘김]]="","",IF(상세표[[#This Row],[기관명단]]="없음","기관명단에 없음(다른 병원으로 발송)",IF(OR(상세표[[#This Row],[시작월 기관]]="",상세표[[#This Row],[종료월 기관]]=""),"기관 정보 없음(해당 월 기관명단 필요)",IF(OR(LEFT(상세표[[#This Row],[시작월 기관]],1)="⚠",LEFT(상세표[[#This Row],[종료월 기관]],1)="⚠"),"기관 판정 불가(15일 판정불가)",IF(상세표[[#This Row],[시작월 기관]]=상세표[[#This Row],[종료월 기관]],"같은 기관",IF(AND(OR(상세표[[#This Row],[시작월 기관]]="서울병원",상세표[[#This Row],[시작월 기관]]="구리병원"),OR(상세표[[#This Row],[종료월 기관]]="서울병원",상세표[[#This Row],[종료월 기관]]="구리병원")),"서울↔구리: 15일 이상 근무 기관",IF(OR(AND(상세표[[#This Row],[시작월 기관]]="구리병원",COUNTIF(익월초기관목록,상세표[[#This Row],[종료월 기관]])&gt;0),AND(상세표[[#This Row],[종료월 기관]]="구리병원",COUNTIF(익월초기관목록,상세표[[#This Row],[시작월 기관]])&gt;0)),"익월초 급여 반영","규정 확인 필요")))))))</f>
        <v/>
      </c>
      <c r="AK16" s="9">
        <f>IF(상세표[[#This Row],[기록월]]="","",IF(상세표[[#This Row],[월경계 판정]]="익월초 급여 반영",상세표[[#This Row],[종료월]],상세표[[#This Row],[기록월]]))</f>
        <v/>
      </c>
      <c r="AL16" s="9">
        <f>IF(상세표[[#This Row],[기록월]]="","",IF(상세표[[#This Row],[기관명단]]="없음","기관명단에 없음(다른 병원으로 발송)",IF(상세표[[#This Row],[월경계 판정]]="익월초 급여 반영","확인 필요("&amp;상세표[[#This Row],[시작월 기관]]&amp;"→"&amp;상세표[[#This Row],[종료월 기관]]&amp;")",상세표[[#This Row],[시작월 기관]])))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/>
  </sheetPr>
  <dimension ref="A1:L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10" customWidth="1" min="10" max="10"/>
    <col width="9" customWidth="1" min="11" max="11"/>
    <col width="18" customWidth="1" min="12" max="12"/>
  </cols>
  <sheetData>
    <row r="1">
      <c r="A1" s="1" t="inlineStr">
        <is>
          <t>월별 전공의 시간외 근무 (합계)</t>
        </is>
      </c>
    </row>
    <row r="2">
      <c r="A2" s="4" t="inlineStr">
        <is>
          <t>※ 원본 파일의 5행부터 마지막 행까지 복사해 A5에 붙여넣으세요. 시간 칸이 '20.00' 같은 글자여도 숫자로 읽습니다.</t>
        </is>
      </c>
    </row>
    <row r="3"/>
    <row r="4">
      <c r="A4" s="5" t="inlineStr">
        <is>
          <t>부서</t>
        </is>
      </c>
      <c r="B4" s="5" t="inlineStr">
        <is>
          <t>사번</t>
        </is>
      </c>
      <c r="C4" s="5" t="inlineStr">
        <is>
          <t>성명</t>
        </is>
      </c>
      <c r="D4" s="5" t="inlineStr">
        <is>
          <t>직위</t>
        </is>
      </c>
      <c r="E4" s="5" t="inlineStr">
        <is>
          <t>직위(변환)</t>
        </is>
      </c>
      <c r="F4" s="5" t="inlineStr">
        <is>
          <t>06~07시</t>
        </is>
      </c>
      <c r="G4" s="5" t="inlineStr">
        <is>
          <t>07~18시</t>
        </is>
      </c>
      <c r="H4" s="5" t="inlineStr">
        <is>
          <t>18~22시</t>
        </is>
      </c>
      <c r="I4" s="5" t="inlineStr">
        <is>
          <t>22~06시</t>
        </is>
      </c>
      <c r="J4" s="6" t="inlineStr">
        <is>
          <t>사번키</t>
        </is>
      </c>
      <c r="K4" s="6" t="inlineStr">
        <is>
          <t>시스템 합계</t>
        </is>
      </c>
      <c r="L4" s="6" t="inlineStr">
        <is>
          <t>직위(통합)</t>
        </is>
      </c>
    </row>
    <row r="5">
      <c r="A5" s="7" t="inlineStr">
        <is>
          <t>ㅇㅇ과</t>
        </is>
      </c>
      <c r="B5" s="7" t="n">
        <v>2222222</v>
      </c>
      <c r="C5" s="7" t="inlineStr">
        <is>
          <t>김ㅇㅇ</t>
        </is>
      </c>
      <c r="D5" s="7" t="inlineStr">
        <is>
          <t>레지던트2</t>
        </is>
      </c>
      <c r="E5" s="7" t="inlineStr">
        <is>
          <t>레지던트2</t>
        </is>
      </c>
      <c r="F5" s="7" t="inlineStr">
        <is>
          <t>3.00</t>
        </is>
      </c>
      <c r="G5" s="7" t="inlineStr">
        <is>
          <t>23.00</t>
        </is>
      </c>
      <c r="H5" s="7" t="inlineStr">
        <is>
          <t>8.00</t>
        </is>
      </c>
      <c r="I5" s="7" t="inlineStr">
        <is>
          <t>16.00</t>
        </is>
      </c>
      <c r="J5" s="9">
        <f>IF(TRIM(합계표[[#This Row],[사번]]&amp;"")="","","S|"&amp;TRIM(합계표[[#This Row],[사번]]&amp;""))</f>
        <v/>
      </c>
      <c r="K5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5" s="9">
        <f>IF(합계표[[#This Row],[사번키]]="","",IF(_xlfn.XLOOKUP(합계표[[#This Row],[사번키]],합계표[사번키],합계표[직위(변환)],"",0,1)&amp;""=_xlfn.XLOOKUP(합계표[[#This Row],[사번키]],합계표[사번키],합계표[직위(변환)],"",0,-1)&amp;"",_xlfn.XLOOKUP(합계표[[#This Row],[사번키]],합계표[사번키],합계표[직위(변환)],"",0,1)&amp;"",_xlfn.XLOOKUP(합계표[[#This Row],[사번키]],합계표[사번키],합계표[직위(변환)],"",0,1)&amp;""&amp;", "&amp;_xlfn.XLOOKUP(합계표[[#This Row],[사번키]],합계표[사번키],합계표[직위(변환)],"",0,-1)&amp;""))</f>
        <v/>
      </c>
    </row>
    <row r="6">
      <c r="A6" s="7" t="inlineStr">
        <is>
          <t>ㅇㅇ과</t>
        </is>
      </c>
      <c r="B6" s="7" t="n">
        <v>2222222</v>
      </c>
      <c r="C6" s="7" t="inlineStr">
        <is>
          <t>김ㅇㅇ</t>
        </is>
      </c>
      <c r="D6" s="7" t="inlineStr">
        <is>
          <t>전임의</t>
        </is>
      </c>
      <c r="E6" s="7" t="inlineStr">
        <is>
          <t>전임의</t>
        </is>
      </c>
      <c r="F6" s="7" t="inlineStr">
        <is>
          <t>0.00</t>
        </is>
      </c>
      <c r="G6" s="7" t="inlineStr">
        <is>
          <t>10.00</t>
        </is>
      </c>
      <c r="H6" s="7" t="inlineStr">
        <is>
          <t>2.00</t>
        </is>
      </c>
      <c r="I6" s="7" t="inlineStr">
        <is>
          <t>0.00</t>
        </is>
      </c>
      <c r="J6" s="9">
        <f>IF(TRIM(합계표[[#This Row],[사번]]&amp;"")="","","S|"&amp;TRIM(합계표[[#This Row],[사번]]&amp;""))</f>
        <v/>
      </c>
      <c r="K6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6" s="9">
        <f>IF(합계표[[#This Row],[사번키]]="","",IF(_xlfn.XLOOKUP(합계표[[#This Row],[사번키]],합계표[사번키],합계표[직위(변환)],"",0,1)&amp;""=_xlfn.XLOOKUP(합계표[[#This Row],[사번키]],합계표[사번키],합계표[직위(변환)],"",0,-1)&amp;"",_xlfn.XLOOKUP(합계표[[#This Row],[사번키]],합계표[사번키],합계표[직위(변환)],"",0,1)&amp;"",_xlfn.XLOOKUP(합계표[[#This Row],[사번키]],합계표[사번키],합계표[직위(변환)],"",0,1)&amp;""&amp;", "&amp;_xlfn.XLOOKUP(합계표[[#This Row],[사번키]],합계표[사번키],합계표[직위(변환)],"",0,-1)&amp;""))</f>
        <v/>
      </c>
    </row>
    <row r="7">
      <c r="A7" s="7" t="inlineStr">
        <is>
          <t>수련교육부</t>
        </is>
      </c>
      <c r="B7" s="7" t="n">
        <v>3333333</v>
      </c>
      <c r="C7" s="7" t="inlineStr">
        <is>
          <t>이ㅇㅇ</t>
        </is>
      </c>
      <c r="D7" s="7" t="inlineStr">
        <is>
          <t>인턴</t>
        </is>
      </c>
      <c r="E7" s="7" t="inlineStr">
        <is>
          <t>인턴</t>
        </is>
      </c>
      <c r="F7" s="7" t="inlineStr">
        <is>
          <t>0.00</t>
        </is>
      </c>
      <c r="G7" s="7" t="inlineStr">
        <is>
          <t>11.00</t>
        </is>
      </c>
      <c r="H7" s="7" t="inlineStr">
        <is>
          <t>4.00</t>
        </is>
      </c>
      <c r="I7" s="7" t="inlineStr">
        <is>
          <t>0.00</t>
        </is>
      </c>
      <c r="J7" s="9">
        <f>IF(TRIM(합계표[[#This Row],[사번]]&amp;"")="","","S|"&amp;TRIM(합계표[[#This Row],[사번]]&amp;""))</f>
        <v/>
      </c>
      <c r="K7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7" s="9">
        <f>IF(합계표[[#This Row],[사번키]]="","",IF(_xlfn.XLOOKUP(합계표[[#This Row],[사번키]],합계표[사번키],합계표[직위(변환)],"",0,1)&amp;""=_xlfn.XLOOKUP(합계표[[#This Row],[사번키]],합계표[사번키],합계표[직위(변환)],"",0,-1)&amp;"",_xlfn.XLOOKUP(합계표[[#This Row],[사번키]],합계표[사번키],합계표[직위(변환)],"",0,1)&amp;"",_xlfn.XLOOKUP(합계표[[#This Row],[사번키]],합계표[사번키],합계표[직위(변환)],"",0,1)&amp;""&amp;", "&amp;_xlfn.XLOOKUP(합계표[[#This Row],[사번키]],합계표[사번키],합계표[직위(변환)],"",0,-1)&amp;""))</f>
        <v/>
      </c>
    </row>
    <row r="8">
      <c r="A8" s="7" t="inlineStr">
        <is>
          <t>수련교육부</t>
        </is>
      </c>
      <c r="B8" s="7" t="n">
        <v>4444444</v>
      </c>
      <c r="C8" s="7" t="inlineStr">
        <is>
          <t>박ㅇㅇ</t>
        </is>
      </c>
      <c r="D8" s="7" t="inlineStr">
        <is>
          <t>인턴</t>
        </is>
      </c>
      <c r="E8" s="7" t="inlineStr">
        <is>
          <t>인턴</t>
        </is>
      </c>
      <c r="F8" s="7" t="inlineStr">
        <is>
          <t>1.00</t>
        </is>
      </c>
      <c r="G8" s="7" t="inlineStr">
        <is>
          <t>1.00</t>
        </is>
      </c>
      <c r="H8" s="7" t="inlineStr">
        <is>
          <t>2.00</t>
        </is>
      </c>
      <c r="I8" s="7" t="inlineStr">
        <is>
          <t>8.00</t>
        </is>
      </c>
      <c r="J8" s="9">
        <f>IF(TRIM(합계표[[#This Row],[사번]]&amp;"")="","","S|"&amp;TRIM(합계표[[#This Row],[사번]]&amp;""))</f>
        <v/>
      </c>
      <c r="K8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8" s="9">
        <f>IF(합계표[[#This Row],[사번키]]="","",IF(_xlfn.XLOOKUP(합계표[[#This Row],[사번키]],합계표[사번키],합계표[직위(변환)],"",0,1)&amp;""=_xlfn.XLOOKUP(합계표[[#This Row],[사번키]],합계표[사번키],합계표[직위(변환)],"",0,-1)&amp;"",_xlfn.XLOOKUP(합계표[[#This Row],[사번키]],합계표[사번키],합계표[직위(변환)],"",0,1)&amp;"",_xlfn.XLOOKUP(합계표[[#This Row],[사번키]],합계표[사번키],합계표[직위(변환)],"",0,1)&amp;""&amp;", "&amp;_xlfn.XLOOKUP(합계표[[#This Row],[사번키]],합계표[사번키],합계표[직위(변환)],"",0,-1)&amp;""))</f>
        <v/>
      </c>
    </row>
    <row r="9">
      <c r="A9" s="7" t="inlineStr">
        <is>
          <t>△△과</t>
        </is>
      </c>
      <c r="B9" s="7" t="n">
        <v>5555555</v>
      </c>
      <c r="C9" s="7" t="inlineStr">
        <is>
          <t>정ㅇㅇ</t>
        </is>
      </c>
      <c r="D9" s="7" t="inlineStr">
        <is>
          <t>레지던트3</t>
        </is>
      </c>
      <c r="E9" s="7" t="inlineStr">
        <is>
          <t>레지던트3</t>
        </is>
      </c>
      <c r="F9" s="7" t="inlineStr">
        <is>
          <t>1.00</t>
        </is>
      </c>
      <c r="G9" s="7" t="inlineStr">
        <is>
          <t>11.00</t>
        </is>
      </c>
      <c r="H9" s="7" t="inlineStr">
        <is>
          <t>4.00</t>
        </is>
      </c>
      <c r="I9" s="7" t="inlineStr">
        <is>
          <t>8.00</t>
        </is>
      </c>
      <c r="J9" s="9">
        <f>IF(TRIM(합계표[[#This Row],[사번]]&amp;"")="","","S|"&amp;TRIM(합계표[[#This Row],[사번]]&amp;""))</f>
        <v/>
      </c>
      <c r="K9" s="12">
        <f>IFERROR(VALUE(TRIM(합계표[[#This Row],[06~07시]]&amp;"")),0)+IFERROR(VALUE(TRIM(합계표[[#This Row],[07~18시]]&amp;"")),0)+IFERROR(VALUE(TRIM(합계표[[#This Row],[18~22시]]&amp;"")),0)+IFERROR(VALUE(TRIM(합계표[[#This Row],[22~06시]]&amp;"")),0)</f>
        <v/>
      </c>
      <c r="L9" s="9">
        <f>IF(합계표[[#This Row],[사번키]]="","",IF(_xlfn.XLOOKUP(합계표[[#This Row],[사번키]],합계표[사번키],합계표[직위(변환)],"",0,1)&amp;""=_xlfn.XLOOKUP(합계표[[#This Row],[사번키]],합계표[사번키],합계표[직위(변환)],"",0,-1)&amp;"",_xlfn.XLOOKUP(합계표[[#This Row],[사번키]],합계표[사번키],합계표[직위(변환)],"",0,1)&amp;"",_xlfn.XLOOKUP(합계표[[#This Row],[사번키]],합계표[사번키],합계표[직위(변환)],"",0,1)&amp;""&amp;", "&amp;_xlfn.XLOOKUP(합계표[[#This Row],[사번키]],합계표[사번키],합계표[직위(변환)],"",0,-1)&amp;""))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/>
  </sheetPr>
  <dimension ref="A1:L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8" customWidth="1" min="3" max="3"/>
    <col width="12" customWidth="1" min="4" max="4"/>
    <col width="9" customWidth="1" min="5" max="5"/>
    <col width="10" customWidth="1" min="6" max="6"/>
    <col width="11" customWidth="1" min="7" max="7"/>
    <col width="13" customWidth="1" min="8" max="8"/>
    <col width="34" customWidth="1" min="9" max="9"/>
    <col width="8" customWidth="1" min="10" max="10"/>
    <col width="10" customWidth="1" min="11" max="11"/>
    <col width="16" customWidth="1" min="12" max="12"/>
  </cols>
  <sheetData>
    <row r="1">
      <c r="A1" s="5" t="inlineStr">
        <is>
          <t>기준월</t>
        </is>
      </c>
      <c r="B1" s="5" t="inlineStr">
        <is>
          <t>사번</t>
        </is>
      </c>
      <c r="C1" s="5" t="inlineStr">
        <is>
          <t>이름</t>
        </is>
      </c>
      <c r="D1" s="5" t="inlineStr">
        <is>
          <t>수련과목</t>
        </is>
      </c>
      <c r="E1" s="5" t="inlineStr">
        <is>
          <t>연차</t>
        </is>
      </c>
      <c r="F1" s="5" t="inlineStr">
        <is>
          <t>소속병원</t>
        </is>
      </c>
      <c r="G1" s="5" t="inlineStr">
        <is>
          <t>기준월 근무병원</t>
        </is>
      </c>
      <c r="H1" s="5" t="inlineStr">
        <is>
          <t>급여지급병원(기준월)</t>
        </is>
      </c>
      <c r="I1" s="5" t="inlineStr">
        <is>
          <t>급여 판정 근거</t>
        </is>
      </c>
      <c r="J1" s="6" t="inlineStr">
        <is>
          <t>월키</t>
        </is>
      </c>
      <c r="K1" s="6" t="inlineStr">
        <is>
          <t>사번키</t>
        </is>
      </c>
      <c r="L1" s="6" t="inlineStr">
        <is>
          <t>키</t>
        </is>
      </c>
    </row>
    <row r="2">
      <c r="A2" s="13" t="inlineStr">
        <is>
          <t>2026-08</t>
        </is>
      </c>
      <c r="B2" s="13" t="inlineStr">
        <is>
          <t>2222222</t>
        </is>
      </c>
      <c r="C2" s="7" t="inlineStr">
        <is>
          <t>김ㅇㅇ</t>
        </is>
      </c>
      <c r="D2" s="7" t="inlineStr">
        <is>
          <t>ㅇㅇ과</t>
        </is>
      </c>
      <c r="E2" s="7" t="inlineStr">
        <is>
          <t>레지던트2</t>
        </is>
      </c>
      <c r="F2" s="7" t="inlineStr">
        <is>
          <t>서울병원</t>
        </is>
      </c>
      <c r="G2" s="7" t="inlineStr">
        <is>
          <t>서울병원</t>
        </is>
      </c>
      <c r="H2" s="7" t="inlineStr">
        <is>
          <t>서울병원</t>
        </is>
      </c>
      <c r="I2" s="7" t="inlineStr">
        <is>
          <t>예시</t>
        </is>
      </c>
      <c r="J2" s="9">
        <f>IF(ISNUMBER(기관표[[#This Row],[기준월]]),TEXT(기관표[[#This Row],[기준월]],"yyyy-mm"),LEFT(TRIM(기관표[[#This Row],[기준월]]&amp;""),7))</f>
        <v/>
      </c>
      <c r="K2" s="9">
        <f>IF(TRIM(기관표[[#This Row],[사번]]&amp;"")="","","S|"&amp;TRIM(기관표[[#This Row],[사번]]&amp;""))</f>
        <v/>
      </c>
      <c r="L2" s="9">
        <f>IF(기관표[[#This Row],[사번키]]="","",기관표[[#This Row],[사번키]]&amp;"|"&amp;기관표[[#This Row],[월키]])</f>
        <v/>
      </c>
    </row>
    <row r="3">
      <c r="A3" s="13" t="inlineStr">
        <is>
          <t>2026-09</t>
        </is>
      </c>
      <c r="B3" s="13" t="inlineStr">
        <is>
          <t>2222222</t>
        </is>
      </c>
      <c r="C3" s="7" t="inlineStr">
        <is>
          <t>김ㅇㅇ</t>
        </is>
      </c>
      <c r="D3" s="7" t="inlineStr">
        <is>
          <t>ㅇㅇ과</t>
        </is>
      </c>
      <c r="E3" s="7" t="inlineStr">
        <is>
          <t>레지던트2</t>
        </is>
      </c>
      <c r="F3" s="7" t="inlineStr">
        <is>
          <t>서울병원</t>
        </is>
      </c>
      <c r="G3" s="7" t="inlineStr">
        <is>
          <t>서울병원</t>
        </is>
      </c>
      <c r="H3" s="7" t="inlineStr">
        <is>
          <t>서울병원</t>
        </is>
      </c>
      <c r="I3" s="7" t="inlineStr">
        <is>
          <t>예시</t>
        </is>
      </c>
      <c r="J3" s="9">
        <f>IF(ISNUMBER(기관표[[#This Row],[기준월]]),TEXT(기관표[[#This Row],[기준월]],"yyyy-mm"),LEFT(TRIM(기관표[[#This Row],[기준월]]&amp;""),7))</f>
        <v/>
      </c>
      <c r="K3" s="9">
        <f>IF(TRIM(기관표[[#This Row],[사번]]&amp;"")="","","S|"&amp;TRIM(기관표[[#This Row],[사번]]&amp;""))</f>
        <v/>
      </c>
      <c r="L3" s="9">
        <f>IF(기관표[[#This Row],[사번키]]="","",기관표[[#This Row],[사번키]]&amp;"|"&amp;기관표[[#This Row],[월키]])</f>
        <v/>
      </c>
    </row>
    <row r="4">
      <c r="A4" s="13" t="inlineStr">
        <is>
          <t>2026-10</t>
        </is>
      </c>
      <c r="B4" s="13" t="inlineStr">
        <is>
          <t>2222222</t>
        </is>
      </c>
      <c r="C4" s="7" t="inlineStr">
        <is>
          <t>김ㅇㅇ</t>
        </is>
      </c>
      <c r="D4" s="7" t="inlineStr">
        <is>
          <t>ㅇㅇ과</t>
        </is>
      </c>
      <c r="E4" s="7" t="inlineStr">
        <is>
          <t>레지던트2</t>
        </is>
      </c>
      <c r="F4" s="7" t="inlineStr">
        <is>
          <t>서울병원</t>
        </is>
      </c>
      <c r="G4" s="7" t="inlineStr">
        <is>
          <t>서울병원</t>
        </is>
      </c>
      <c r="H4" s="7" t="inlineStr">
        <is>
          <t>구리병원</t>
        </is>
      </c>
      <c r="I4" s="7" t="inlineStr">
        <is>
          <t>예시</t>
        </is>
      </c>
      <c r="J4" s="9">
        <f>IF(ISNUMBER(기관표[[#This Row],[기준월]]),TEXT(기관표[[#This Row],[기준월]],"yyyy-mm"),LEFT(TRIM(기관표[[#This Row],[기준월]]&amp;""),7))</f>
        <v/>
      </c>
      <c r="K4" s="9">
        <f>IF(TRIM(기관표[[#This Row],[사번]]&amp;"")="","","S|"&amp;TRIM(기관표[[#This Row],[사번]]&amp;""))</f>
        <v/>
      </c>
      <c r="L4" s="9">
        <f>IF(기관표[[#This Row],[사번키]]="","",기관표[[#This Row],[사번키]]&amp;"|"&amp;기관표[[#This Row],[월키]])</f>
        <v/>
      </c>
    </row>
    <row r="5">
      <c r="A5" s="13" t="inlineStr">
        <is>
          <t>2026-08</t>
        </is>
      </c>
      <c r="B5" s="13" t="inlineStr">
        <is>
          <t>3333333</t>
        </is>
      </c>
      <c r="C5" s="7" t="inlineStr">
        <is>
          <t>이ㅇㅇ</t>
        </is>
      </c>
      <c r="D5" s="7" t="inlineStr">
        <is>
          <t>인턴</t>
        </is>
      </c>
      <c r="E5" s="7" t="inlineStr">
        <is>
          <t>인턴</t>
        </is>
      </c>
      <c r="F5" s="7" t="inlineStr">
        <is>
          <t>서울병원</t>
        </is>
      </c>
      <c r="G5" s="7" t="inlineStr">
        <is>
          <t>제주병원</t>
        </is>
      </c>
      <c r="H5" s="7" t="inlineStr">
        <is>
          <t>제주병원</t>
        </is>
      </c>
      <c r="I5" s="7" t="inlineStr">
        <is>
          <t>예시</t>
        </is>
      </c>
      <c r="J5" s="9">
        <f>IF(ISNUMBER(기관표[[#This Row],[기준월]]),TEXT(기관표[[#This Row],[기준월]],"yyyy-mm"),LEFT(TRIM(기관표[[#This Row],[기준월]]&amp;""),7))</f>
        <v/>
      </c>
      <c r="K5" s="9">
        <f>IF(TRIM(기관표[[#This Row],[사번]]&amp;"")="","","S|"&amp;TRIM(기관표[[#This Row],[사번]]&amp;""))</f>
        <v/>
      </c>
      <c r="L5" s="9">
        <f>IF(기관표[[#This Row],[사번키]]="","",기관표[[#This Row],[사번키]]&amp;"|"&amp;기관표[[#This Row],[월키]])</f>
        <v/>
      </c>
    </row>
    <row r="6">
      <c r="A6" s="13" t="inlineStr">
        <is>
          <t>2026-09</t>
        </is>
      </c>
      <c r="B6" s="13" t="inlineStr">
        <is>
          <t>3333333</t>
        </is>
      </c>
      <c r="C6" s="7" t="inlineStr">
        <is>
          <t>이ㅇㅇ</t>
        </is>
      </c>
      <c r="D6" s="7" t="inlineStr">
        <is>
          <t>인턴</t>
        </is>
      </c>
      <c r="E6" s="7" t="inlineStr">
        <is>
          <t>인턴</t>
        </is>
      </c>
      <c r="F6" s="7" t="inlineStr">
        <is>
          <t>서울병원</t>
        </is>
      </c>
      <c r="G6" s="7" t="inlineStr">
        <is>
          <t>구리병원</t>
        </is>
      </c>
      <c r="H6" s="7" t="inlineStr">
        <is>
          <t>구리병원</t>
        </is>
      </c>
      <c r="I6" s="7" t="inlineStr">
        <is>
          <t>예시</t>
        </is>
      </c>
      <c r="J6" s="9">
        <f>IF(ISNUMBER(기관표[[#This Row],[기준월]]),TEXT(기관표[[#This Row],[기준월]],"yyyy-mm"),LEFT(TRIM(기관표[[#This Row],[기준월]]&amp;""),7))</f>
        <v/>
      </c>
      <c r="K6" s="9">
        <f>IF(TRIM(기관표[[#This Row],[사번]]&amp;"")="","","S|"&amp;TRIM(기관표[[#This Row],[사번]]&amp;""))</f>
        <v/>
      </c>
      <c r="L6" s="9">
        <f>IF(기관표[[#This Row],[사번키]]="","",기관표[[#This Row],[사번키]]&amp;"|"&amp;기관표[[#This Row],[월키]])</f>
        <v/>
      </c>
    </row>
    <row r="7">
      <c r="A7" s="13" t="inlineStr">
        <is>
          <t>2026-10</t>
        </is>
      </c>
      <c r="B7" s="13" t="inlineStr">
        <is>
          <t>3333333</t>
        </is>
      </c>
      <c r="C7" s="7" t="inlineStr">
        <is>
          <t>이ㅇㅇ</t>
        </is>
      </c>
      <c r="D7" s="7" t="inlineStr">
        <is>
          <t>인턴</t>
        </is>
      </c>
      <c r="E7" s="7" t="inlineStr">
        <is>
          <t>인턴</t>
        </is>
      </c>
      <c r="F7" s="7" t="inlineStr">
        <is>
          <t>서울병원</t>
        </is>
      </c>
      <c r="G7" s="7" t="inlineStr">
        <is>
          <t>구리병원</t>
        </is>
      </c>
      <c r="H7" s="7" t="inlineStr">
        <is>
          <t>구리병원</t>
        </is>
      </c>
      <c r="I7" s="7" t="inlineStr">
        <is>
          <t>예시</t>
        </is>
      </c>
      <c r="J7" s="9">
        <f>IF(ISNUMBER(기관표[[#This Row],[기준월]]),TEXT(기관표[[#This Row],[기준월]],"yyyy-mm"),LEFT(TRIM(기관표[[#This Row],[기준월]]&amp;""),7))</f>
        <v/>
      </c>
      <c r="K7" s="9">
        <f>IF(TRIM(기관표[[#This Row],[사번]]&amp;"")="","","S|"&amp;TRIM(기관표[[#This Row],[사번]]&amp;""))</f>
        <v/>
      </c>
      <c r="L7" s="9">
        <f>IF(기관표[[#This Row],[사번키]]="","",기관표[[#This Row],[사번키]]&amp;"|"&amp;기관표[[#This Row],[월키]])</f>
        <v/>
      </c>
    </row>
    <row r="8">
      <c r="A8" s="13" t="inlineStr">
        <is>
          <t>2026-08</t>
        </is>
      </c>
      <c r="B8" s="13" t="inlineStr">
        <is>
          <t>4444444</t>
        </is>
      </c>
      <c r="C8" s="7" t="inlineStr">
        <is>
          <t>박ㅇㅇ</t>
        </is>
      </c>
      <c r="D8" s="7" t="inlineStr">
        <is>
          <t>인턴</t>
        </is>
      </c>
      <c r="E8" s="7" t="inlineStr">
        <is>
          <t>인턴</t>
        </is>
      </c>
      <c r="F8" s="7" t="inlineStr">
        <is>
          <t>구리병원</t>
        </is>
      </c>
      <c r="G8" s="7" t="inlineStr">
        <is>
          <t>구리병원</t>
        </is>
      </c>
      <c r="H8" s="7" t="inlineStr">
        <is>
          <t>구리병원</t>
        </is>
      </c>
      <c r="I8" s="7" t="inlineStr">
        <is>
          <t>예시</t>
        </is>
      </c>
      <c r="J8" s="9">
        <f>IF(ISNUMBER(기관표[[#This Row],[기준월]]),TEXT(기관표[[#This Row],[기준월]],"yyyy-mm"),LEFT(TRIM(기관표[[#This Row],[기준월]]&amp;""),7))</f>
        <v/>
      </c>
      <c r="K8" s="9">
        <f>IF(TRIM(기관표[[#This Row],[사번]]&amp;"")="","","S|"&amp;TRIM(기관표[[#This Row],[사번]]&amp;""))</f>
        <v/>
      </c>
      <c r="L8" s="9">
        <f>IF(기관표[[#This Row],[사번키]]="","",기관표[[#This Row],[사번키]]&amp;"|"&amp;기관표[[#This Row],[월키]])</f>
        <v/>
      </c>
    </row>
    <row r="9">
      <c r="A9" s="13" t="inlineStr">
        <is>
          <t>2026-09</t>
        </is>
      </c>
      <c r="B9" s="13" t="inlineStr">
        <is>
          <t>4444444</t>
        </is>
      </c>
      <c r="C9" s="7" t="inlineStr">
        <is>
          <t>박ㅇㅇ</t>
        </is>
      </c>
      <c r="D9" s="7" t="inlineStr">
        <is>
          <t>인턴</t>
        </is>
      </c>
      <c r="E9" s="7" t="inlineStr">
        <is>
          <t>인턴</t>
        </is>
      </c>
      <c r="F9" s="7" t="inlineStr">
        <is>
          <t>구리병원</t>
        </is>
      </c>
      <c r="G9" s="7" t="inlineStr">
        <is>
          <t>구리병원</t>
        </is>
      </c>
      <c r="H9" s="7" t="inlineStr">
        <is>
          <t>구리병원</t>
        </is>
      </c>
      <c r="I9" s="7" t="inlineStr">
        <is>
          <t>예시</t>
        </is>
      </c>
      <c r="J9" s="9">
        <f>IF(ISNUMBER(기관표[[#This Row],[기준월]]),TEXT(기관표[[#This Row],[기준월]],"yyyy-mm"),LEFT(TRIM(기관표[[#This Row],[기준월]]&amp;""),7))</f>
        <v/>
      </c>
      <c r="K9" s="9">
        <f>IF(TRIM(기관표[[#This Row],[사번]]&amp;"")="","","S|"&amp;TRIM(기관표[[#This Row],[사번]]&amp;""))</f>
        <v/>
      </c>
      <c r="L9" s="9">
        <f>IF(기관표[[#This Row],[사번키]]="","",기관표[[#This Row],[사번키]]&amp;"|"&amp;기관표[[#This Row],[월키]])</f>
        <v/>
      </c>
    </row>
    <row r="10">
      <c r="A10" s="13" t="inlineStr">
        <is>
          <t>2026-10</t>
        </is>
      </c>
      <c r="B10" s="13" t="inlineStr">
        <is>
          <t>4444444</t>
        </is>
      </c>
      <c r="C10" s="7" t="inlineStr">
        <is>
          <t>박ㅇㅇ</t>
        </is>
      </c>
      <c r="D10" s="7" t="inlineStr">
        <is>
          <t>인턴</t>
        </is>
      </c>
      <c r="E10" s="7" t="inlineStr">
        <is>
          <t>인턴</t>
        </is>
      </c>
      <c r="F10" s="7" t="inlineStr">
        <is>
          <t>구리병원</t>
        </is>
      </c>
      <c r="G10" s="7" t="inlineStr">
        <is>
          <t>인천병원</t>
        </is>
      </c>
      <c r="H10" s="7" t="inlineStr">
        <is>
          <t>인천병원</t>
        </is>
      </c>
      <c r="I10" s="7" t="inlineStr">
        <is>
          <t>예시</t>
        </is>
      </c>
      <c r="J10" s="9">
        <f>IF(ISNUMBER(기관표[[#This Row],[기준월]]),TEXT(기관표[[#This Row],[기준월]],"yyyy-mm"),LEFT(TRIM(기관표[[#This Row],[기준월]]&amp;""),7))</f>
        <v/>
      </c>
      <c r="K10" s="9">
        <f>IF(TRIM(기관표[[#This Row],[사번]]&amp;"")="","","S|"&amp;TRIM(기관표[[#This Row],[사번]]&amp;""))</f>
        <v/>
      </c>
      <c r="L10" s="9">
        <f>IF(기관표[[#This Row],[사번키]]="","",기관표[[#This Row],[사번키]]&amp;"|"&amp;기관표[[#This Row],[월키]])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O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0" customWidth="1" min="4" max="4"/>
    <col width="16" customWidth="1" min="5" max="5"/>
    <col width="16" customWidth="1" min="6" max="6"/>
    <col width="6" customWidth="1" min="7" max="7"/>
    <col width="8" customWidth="1" min="8" max="8"/>
    <col width="6" customWidth="1" min="9" max="9"/>
    <col width="8" customWidth="1" min="10" max="10"/>
    <col width="8" customWidth="1" min="11" max="11"/>
    <col width="8" customWidth="1" min="12" max="12"/>
    <col width="8" customWidth="1" min="13" max="13"/>
    <col width="9" customWidth="1" min="14" max="14"/>
    <col width="9" customWidth="1" min="15" max="15"/>
  </cols>
  <sheetData>
    <row r="1">
      <c r="A1" s="1" t="inlineStr">
        <is>
          <t>연속 근무 (이어진 시간외 근무를 한 줄로)</t>
        </is>
      </c>
    </row>
    <row r="2">
      <c r="A2" s="4" t="inlineStr">
        <is>
          <t>※ 자동 목록(입력 금지). 대상월에 걸친 연속 근무만 사번·시작 시각 순으로 빈 줄 없이 보여줍니다. 전월 말일에 시작한 당직도 포함됩니다. 월 넘김 표시가 있으면 출력_월경계당직에서 반영 급여월·기관을 확인하세요.</t>
        </is>
      </c>
    </row>
    <row r="3">
      <c r="A3" s="14" t="inlineStr">
        <is>
          <t>연속 근무 건수</t>
        </is>
      </c>
      <c r="B3" s="15">
        <f>SUMPRODUCT(--((상세표[블록시작]=1)*((상세표[시작월]=대상월키)+(상세표[블록종료월]=대상월키))&gt;0))</f>
        <v/>
      </c>
      <c r="C3" s="14" t="inlineStr">
        <is>
          <t>2개 이상 기록을 묶은 건수</t>
        </is>
      </c>
      <c r="D3" s="15">
        <f>SUMPRODUCT(((상세표[블록시작]=1)*((상세표[시작월]=대상월키)+(상세표[블록종료월]=대상월키))&gt;0)*(IFERROR(--상세표[기록 수],0)&gt;1))</f>
        <v/>
      </c>
      <c r="E3" s="14" t="inlineStr">
        <is>
          <t>주말·휴일 포함</t>
        </is>
      </c>
      <c r="F3" s="15">
        <f>SUMPRODUCT(((상세표[블록시작]=1)*((상세표[시작월]=대상월키)+(상세표[블록종료월]=대상월키))&gt;0)*(상세표[주말·휴일 포함]="포함"))</f>
        <v/>
      </c>
      <c r="G3" s="14" t="inlineStr">
        <is>
          <t>36시간 초과</t>
        </is>
      </c>
      <c r="H3" s="15">
        <f>SUMPRODUCT(((상세표[블록시작]=1)*((상세표[시작월]=대상월키)+(상세표[블록종료월]=대상월키))&gt;0)*(IFERROR(--상세표[연속 시간],0)&gt;36))</f>
        <v/>
      </c>
      <c r="I3" s="14" t="inlineStr">
        <is>
          <t>시각 형식 오류</t>
        </is>
      </c>
      <c r="J3" s="15">
        <f>COUNTIF(상세표[시작],"⚠*")+COUNTIF(상세표[종료],"⚠*")</f>
        <v/>
      </c>
    </row>
    <row r="4"/>
    <row r="5" ht="30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부서</t>
        </is>
      </c>
      <c r="D5" s="5" t="inlineStr">
        <is>
          <t>직위</t>
        </is>
      </c>
      <c r="E5" s="5" t="inlineStr">
        <is>
          <t>시작</t>
        </is>
      </c>
      <c r="F5" s="5" t="inlineStr">
        <is>
          <t>종료</t>
        </is>
      </c>
      <c r="G5" s="5" t="inlineStr">
        <is>
          <t>시작 요일</t>
        </is>
      </c>
      <c r="H5" s="5" t="inlineStr">
        <is>
          <t>연속 시간</t>
        </is>
      </c>
      <c r="I5" s="5" t="inlineStr">
        <is>
          <t>기록 수</t>
        </is>
      </c>
      <c r="J5" s="5" t="inlineStr">
        <is>
          <t>06~07시</t>
        </is>
      </c>
      <c r="K5" s="5" t="inlineStr">
        <is>
          <t>07~18시</t>
        </is>
      </c>
      <c r="L5" s="5" t="inlineStr">
        <is>
          <t>18~22시</t>
        </is>
      </c>
      <c r="M5" s="5" t="inlineStr">
        <is>
          <t>22~06시</t>
        </is>
      </c>
      <c r="N5" s="5" t="inlineStr">
        <is>
          <t>주말·휴일 포함</t>
        </is>
      </c>
      <c r="O5" s="5" t="inlineStr">
        <is>
          <t>월 넘김 포함</t>
        </is>
      </c>
    </row>
    <row r="6">
      <c r="A6" cm="1">
        <f t="array" ref="A6">IF(SUMPRODUCT(--((상세표[블록시작]=1)*((상세표[시작월]=대상월키)+(상세표[블록종료월]=대상월키))&gt;0))=0,"연속 근무 없음",_xlfn._xlws.SORT(IF(ROWS(상세표[사번])=1,IF(AND(((상세표[블록시작]=1)*((상세표[시작월]=대상월키)+(상세표[블록종료월]=대상월키))&gt;0)),CHOOSE({1,2,3,4,5,6,7,8,9,10,11,12,13,14,15},상세표[사번]&amp;"",상세표[성명],상세표[부서],상세표[직위],IF(ISNUMBER(상세표[시작]),TEXT(상세표[시작],"yyyy-mm-dd hh:mm"),상세표[시작]&amp;""),IF(ISNUMBER(상세표[블록종료]),TEXT(상세표[블록종료],"yyyy-mm-dd hh:mm"),상세표[블록종료]&amp;""),IF(ISNUMBER(상세표[시작]),CHOOSE(WEEKDAY(상세표[시작]),"일","월","화","수","목","금","토"),""),상세표[연속 시간],상세표[기록 수],상세표[블록 06~07시],상세표[블록 07~18시],상세표[블록 18~22시],상세표[블록 22~06시],상세표[주말·휴일 포함],상세표[월 넘김 포함]),""),_xlfn._xlws.FILTER(CHOOSE({1,2,3,4,5,6,7,8,9,10,11,12,13,14,15},상세표[사번]&amp;"",상세표[성명],상세표[부서],상세표[직위],IF(ISNUMBER(상세표[시작]),TEXT(상세표[시작],"yyyy-mm-dd hh:mm"),상세표[시작]&amp;""),IF(ISNUMBER(상세표[블록종료]),TEXT(상세표[블록종료],"yyyy-mm-dd hh:mm"),상세표[블록종료]&amp;""),IF(ISNUMBER(상세표[시작]),CHOOSE(WEEKDAY(상세표[시작]),"일","월","화","수","목","금","토"),""),상세표[연속 시간],상세표[기록 수],상세표[블록 06~07시],상세표[블록 07~18시],상세표[블록 18~22시],상세표[블록 22~06시],상세표[주말·휴일 포함],상세표[월 넘김 포함]),((상세표[블록시작]=1)*((상세표[시작월]=대상월키)+(상세표[블록종료월]=대상월키))&gt;0))),{1,5}))</f>
        <v/>
      </c>
    </row>
  </sheetData>
  <conditionalFormatting sqref="H3">
    <cfRule type="expression" priority="1" dxfId="0">
      <formula>H3&gt;0</formula>
    </cfRule>
  </conditionalFormatting>
  <conditionalFormatting sqref="J3">
    <cfRule type="expression" priority="2" dxfId="0">
      <formula>J3&gt;0</formula>
    </cfRule>
  </conditionalFormatting>
  <conditionalFormatting sqref="A6:O20005">
    <cfRule type="expression" priority="3" dxfId="0">
      <formula>AND(ISNUMBER($H6),$H6&gt;36)</formula>
    </cfRule>
    <cfRule type="expression" priority="4" dxfId="1">
      <formula>$O6="포함"</formula>
    </cfRule>
    <cfRule type="expression" priority="5" dxfId="2">
      <formula>$N6="포함"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K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6" customWidth="1" min="4" max="4"/>
    <col width="16" customWidth="1" min="5" max="5"/>
    <col width="8" customWidth="1" min="6" max="6"/>
    <col width="11" customWidth="1" min="7" max="7"/>
    <col width="11" customWidth="1" min="8" max="8"/>
    <col width="26" customWidth="1" min="9" max="9"/>
    <col width="9" customWidth="1" min="10" max="10"/>
    <col width="26" customWidth="1" min="11" max="11"/>
  </cols>
  <sheetData>
    <row r="1">
      <c r="A1" s="1" t="inlineStr">
        <is>
          <t>월을 넘는 당직 (전월 말일→이번 달, 이번 달 말일→익월)</t>
        </is>
      </c>
    </row>
    <row r="2">
      <c r="A2" s="4" t="inlineStr">
        <is>
          <t>※ 같은 기관이면 시작한 달에 반영. 서울↔구리는 시작한 달의 15일 이상 근무 기관(그 달 급여지급병원)에 반영. 구리↔인천·오산·창원·제주는 '익월초 급여 반영'(종료한 달 급여). 그 밖의 조합은 '규정 확인 필요'.</t>
        </is>
      </c>
    </row>
    <row r="3">
      <c r="A3" s="14" t="inlineStr">
        <is>
          <t>월 넘김 당직</t>
        </is>
      </c>
      <c r="B3" s="15">
        <f>SUMPRODUCT((상세표[월 넘김]="월 넘김")*((상세표[기록월]=대상월키)+(상세표[종료월]=대상월키)&gt;0))</f>
        <v/>
      </c>
      <c r="C3" s="14" t="inlineStr">
        <is>
          <t>전월→이번 달</t>
        </is>
      </c>
      <c r="D3" s="15">
        <f>SUMPRODUCT((상세표[월 넘김]="월 넘김")*((상세표[기록월]=대상월키)+(상세표[종료월]=대상월키)&gt;0)*(상세표[종료월]=대상월키))</f>
        <v/>
      </c>
      <c r="E3" s="14" t="inlineStr">
        <is>
          <t>이번 달→익월</t>
        </is>
      </c>
      <c r="F3" s="15">
        <f>SUMPRODUCT((상세표[월 넘김]="월 넘김")*((상세표[기록월]=대상월키)+(상세표[종료월]=대상월키)&gt;0)*(상세표[기록월]=대상월키))</f>
        <v/>
      </c>
      <c r="G3" s="14" t="inlineStr">
        <is>
          <t>익월초 급여 반영</t>
        </is>
      </c>
      <c r="H3" s="15">
        <f>SUMPRODUCT((상세표[월 넘김]="월 넘김")*((상세표[기록월]=대상월키)+(상세표[종료월]=대상월키)&gt;0)*(상세표[월경계 판정]="익월초 급여 반영"))</f>
        <v/>
      </c>
      <c r="I3" s="14" t="inlineStr">
        <is>
          <t>기관 정보 없음·확인 필요</t>
        </is>
      </c>
      <c r="J3" s="15">
        <f>SUMPRODUCT((상세표[월 넘김]="월 넘김")*((상세표[기록월]=대상월키)+(상세표[종료월]=대상월키)&gt;0)*((LEFT(상세표[월경계 판정],2)="기관")+(상세표[월경계 판정]="규정 확인 필요")&gt;0))</f>
        <v/>
      </c>
    </row>
    <row r="4"/>
    <row r="5" ht="30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구분</t>
        </is>
      </c>
      <c r="D5" s="5" t="inlineStr">
        <is>
          <t>시작</t>
        </is>
      </c>
      <c r="E5" s="5" t="inlineStr">
        <is>
          <t>종료</t>
        </is>
      </c>
      <c r="F5" s="5" t="inlineStr">
        <is>
          <t>시간외 시간</t>
        </is>
      </c>
      <c r="G5" s="5" t="inlineStr">
        <is>
          <t>시작월 기관</t>
        </is>
      </c>
      <c r="H5" s="5" t="inlineStr">
        <is>
          <t>종료월 기관</t>
        </is>
      </c>
      <c r="I5" s="5" t="inlineStr">
        <is>
          <t>판정</t>
        </is>
      </c>
      <c r="J5" s="5" t="inlineStr">
        <is>
          <t>반영 급여월</t>
        </is>
      </c>
      <c r="K5" s="5" t="inlineStr">
        <is>
          <t>반영 기관</t>
        </is>
      </c>
    </row>
    <row r="6">
      <c r="A6" cm="1">
        <f t="array" ref="A6">IF(SUMPRODUCT((상세표[월 넘김]="월 넘김")*((상세표[기록월]=대상월키)+(상세표[종료월]=대상월키)&gt;0))=0,"월을 넘는 당직 없음",_xlfn._xlws.SORT(IF(ROWS(상세표[사번])=1,IF(AND((상세표[월 넘김]="월 넘김")*((상세표[기록월]=대상월키)+(상세표[종료월]=대상월키)&gt;0)&gt;0),CHOOSE({1,2,3,4,5,6,7,8,9,10,11},상세표[사번]&amp;"",상세표[성명],IF(상세표[종료월]=대상월키,"전월→이번 달","이번 달→익월"),IF(ISNUMBER(상세표[시작]),TEXT(상세표[시작],"yyyy-mm-dd hh:mm"),상세표[시작]&amp;""),IF(ISNUMBER(상세표[종료]),TEXT(상세표[종료],"yyyy-mm-dd hh:mm"),상세표[종료]&amp;""),상세표[기록 시간외],상세표[시작월 기관],상세표[종료월 기관],상세표[월경계 판정],상세표[반영월],상세표[반영 기관]),""),_xlfn._xlws.FILTER(CHOOSE({1,2,3,4,5,6,7,8,9,10,11},상세표[사번]&amp;"",상세표[성명],IF(상세표[종료월]=대상월키,"전월→이번 달","이번 달→익월"),IF(ISNUMBER(상세표[시작]),TEXT(상세표[시작],"yyyy-mm-dd hh:mm"),상세표[시작]&amp;""),IF(ISNUMBER(상세표[종료]),TEXT(상세표[종료],"yyyy-mm-dd hh:mm"),상세표[종료]&amp;""),상세표[기록 시간외],상세표[시작월 기관],상세표[종료월 기관],상세표[월경계 판정],상세표[반영월],상세표[반영 기관]),(상세표[월 넘김]="월 넘김")*((상세표[기록월]=대상월키)+(상세표[종료월]=대상월키)&gt;0)&gt;0)),{1,4}))</f>
        <v/>
      </c>
    </row>
  </sheetData>
  <conditionalFormatting sqref="J3">
    <cfRule type="expression" priority="1" dxfId="0">
      <formula>J3&gt;0</formula>
    </cfRule>
  </conditionalFormatting>
  <conditionalFormatting sqref="A6:K20005">
    <cfRule type="expression" priority="2" dxfId="3">
      <formula>$I6="익월초 급여 반영"</formula>
    </cfRule>
    <cfRule type="expression" priority="3" dxfId="0">
      <formula>OR(LEFT($I6,2)="기관",$I6="규정 확인 필요")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U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6" customWidth="1" min="4" max="4"/>
    <col width="8" customWidth="1" min="5" max="5"/>
    <col width="9" customWidth="1" min="6" max="6"/>
    <col width="13" customWidth="1" min="7" max="7"/>
    <col width="8" customWidth="1" min="8" max="8"/>
    <col width="8" customWidth="1" min="9" max="9"/>
    <col width="9" customWidth="1" min="10" max="10"/>
    <col width="11" customWidth="1" min="11" max="11"/>
    <col width="20" customWidth="1" min="12" max="12"/>
    <col width="8" customWidth="1" min="13" max="13"/>
    <col width="8" customWidth="1" min="14" max="14"/>
    <col width="8" customWidth="1" min="15" max="15"/>
    <col width="8" customWidth="1" min="16" max="16"/>
    <col width="9" customWidth="1" min="17" max="17"/>
    <col width="3" customWidth="1" min="18" max="18"/>
    <col width="10" customWidth="1" min="19" max="19"/>
    <col width="8" customWidth="1" min="20" max="20"/>
    <col width="10" customWidth="1" min="21" max="21"/>
  </cols>
  <sheetData>
    <row r="1">
      <c r="A1" s="1" t="inlineStr">
        <is>
          <t>시간외 근무 서울급여 판정 (대상월)</t>
        </is>
      </c>
    </row>
    <row r="2">
      <c r="A2" s="4" t="inlineStr">
        <is>
          <t>※ 자동 결과(입력 금지). 같은 사번은 직위가 달라도 한 사람으로 합칩니다. 서울급여 = 입력_기관명단에서 대상월 급여지급병원이 서울병원. 기관명단에 사번이 아예 없으면 '기관명단에 없음(다른 병원으로 발송)' — 출력_타병원발송에 따로 모았습니다.</t>
        </is>
      </c>
    </row>
    <row r="3">
      <c r="A3" s="14" t="inlineStr">
        <is>
          <t>대상월</t>
        </is>
      </c>
      <c r="B3" s="15">
        <f>대상월키</f>
        <v/>
      </c>
      <c r="C3" s="14" t="inlineStr">
        <is>
          <t>시간외 인원(사번 기준)</t>
        </is>
      </c>
      <c r="D3" s="15">
        <f>SUMPRODUCT((합계표[사번키]&lt;&gt;"")/COUNTIF(합계표[사번키],합계표[사번키]&amp;""))</f>
        <v/>
      </c>
      <c r="E3" s="14" t="inlineStr">
        <is>
          <t>서울급여 해당</t>
        </is>
      </c>
      <c r="F3" s="15">
        <f>COUNTIF($L$6:$L$20005,"해당")</f>
        <v/>
      </c>
      <c r="G3" s="14" t="inlineStr">
        <is>
          <t>상세·합계 불일치</t>
        </is>
      </c>
      <c r="H3" s="15">
        <f>COUNTIF($G$6:$G$20005,"불일치*")</f>
        <v/>
      </c>
      <c r="I3" s="14" t="inlineStr">
        <is>
          <t>기관명단에 없음(타 병원 발송)</t>
        </is>
      </c>
      <c r="J3" s="15">
        <f>COUNTIF($L$6:$L$20005,"기관명단에 없음*")</f>
        <v/>
      </c>
      <c r="K3" s="14" t="inlineStr">
        <is>
          <t>대상월 기관명단 없음</t>
        </is>
      </c>
      <c r="L3" s="15">
        <f>COUNTIF($L$6:$L$20005,"대상월 기관명단*")</f>
        <v/>
      </c>
    </row>
    <row r="4">
      <c r="S4" s="3" t="inlineStr">
        <is>
          <t>대상월 반영 기록이 있는데 합계표에 없는 사번 (전월 말일 당직만 있는 사람 등)</t>
        </is>
      </c>
    </row>
    <row r="5" ht="42" customHeight="1">
      <c r="A5" s="5" t="inlineStr">
        <is>
          <t>사번</t>
        </is>
      </c>
      <c r="B5" s="5" t="inlineStr">
        <is>
          <t>성명</t>
        </is>
      </c>
      <c r="C5" s="5" t="inlineStr">
        <is>
          <t>부서</t>
        </is>
      </c>
      <c r="D5" s="5" t="inlineStr">
        <is>
          <t>직위</t>
        </is>
      </c>
      <c r="E5" s="5" t="inlineStr">
        <is>
          <t>시스템 합계</t>
        </is>
      </c>
      <c r="F5" s="5" t="inlineStr">
        <is>
          <t>상세 합계(대상월 기록)</t>
        </is>
      </c>
      <c r="G5" s="5" t="inlineStr">
        <is>
          <t>상세 대조</t>
        </is>
      </c>
      <c r="H5" s="5" t="inlineStr">
        <is>
          <t>이월(−) 익월초</t>
        </is>
      </c>
      <c r="I5" s="5" t="inlineStr">
        <is>
          <t>전입(+) 전월 말일</t>
        </is>
      </c>
      <c r="J5" s="5" t="inlineStr">
        <is>
          <t>대상월 반영 시간</t>
        </is>
      </c>
      <c r="K5" s="5" t="inlineStr">
        <is>
          <t>대상월 급여지급병원</t>
        </is>
      </c>
      <c r="L5" s="5" t="inlineStr">
        <is>
          <t>서울급여</t>
        </is>
      </c>
      <c r="M5" s="5" t="inlineStr">
        <is>
          <t>서울 06~07시</t>
        </is>
      </c>
      <c r="N5" s="5" t="inlineStr">
        <is>
          <t>서울 07~18시</t>
        </is>
      </c>
      <c r="O5" s="5" t="inlineStr">
        <is>
          <t>서울 18~22시</t>
        </is>
      </c>
      <c r="P5" s="5" t="inlineStr">
        <is>
          <t>서울 22~06시</t>
        </is>
      </c>
      <c r="Q5" s="5" t="inlineStr">
        <is>
          <t>서울 반영 합계</t>
        </is>
      </c>
      <c r="S5" s="5" t="inlineStr">
        <is>
          <t>사번</t>
        </is>
      </c>
      <c r="T5" s="5" t="inlineStr">
        <is>
          <t>성명</t>
        </is>
      </c>
      <c r="U5" s="5" t="inlineStr">
        <is>
          <t>대상월 반영 시간</t>
        </is>
      </c>
    </row>
    <row r="6">
      <c r="A6" cm="1">
        <f t="array" ref="A6">_xlfn.LET(_xlpm.v_u,_xlfn.UNIQUE(IF(ROWS(합계표[사번])=1,IF(AND(합계표[사번키]&lt;&gt;""),합계표[사번키],""),_xlfn._xlws.FILTER(합계표[사번키],합계표[사번키]&lt;&gt;""))),_xlpm.v_t,SUMIFS(합계표[시스템 합계],합계표[사번키],_xlpm.v_u),_xlpm.v_d,SUMIFS(상세표[기록 시간외],상세표[사번키],_xlpm.v_u,상세표[기록월],대상월키),_xlpm.v_ok,IF(ABS(_xlpm.v_t-_xlpm.v_d)&lt;0.01,"일치","불일치(차이 "&amp;TEXT(_xlpm.v_d-_xlpm.v_t,"0.00")&amp;")"),_xlpm.v_out,SUMIFS(상세표[기록 시간외],상세표[사번키],_xlpm.v_u,상세표[기록월],대상월키,상세표[반영월],"&lt;&gt;"&amp;대상월키),_xlpm.v_in,SUMIFS(상세표[기록 시간외],상세표[사번키],_xlpm.v_u,상세표[기록월],"&lt;&gt;"&amp;대상월키,상세표[반영월],대상월키),_xlpm.v_r,SUMIFS(상세표[기록 시간외],상세표[사번키],_xlpm.v_u,상세표[반영월],대상월키),_xlpm.v_any,COUNTIF(기관표[사번키],_xlpm.v_u)&gt;0,_xlpm.v_h,IF(_xlpm.v_any,_xlfn.XLOOKUP(_xlpm.v_u&amp;"|"&amp;대상월키,기관표[키],기관표[급여지급병원(기준월)]&amp;"","—"),"—"),_xlpm.v_s,IF(NOT(_xlpm.v_any),"기관명단에 없음(다른 병원으로 발송)",IF(_xlpm.v_h="—","대상월 기관명단 없음(추가 필요)",IF(_xlpm.v_h="서울병원","해당","비해당"))),_xlpm.v_b1,SUMIFS(상세표[06~07시],상세표[사번키],_xlpm.v_u,상세표[반영월],대상월키,상세표[반영 기관],"서울병원"),_xlpm.v_b2,SUMIFS(상세표[07~18시],상세표[사번키],_xlpm.v_u,상세표[반영월],대상월키,상세표[반영 기관],"서울병원"),_xlpm.v_b3,SUMIFS(상세표[18~22시],상세표[사번키],_xlpm.v_u,상세표[반영월],대상월키,상세표[반영 기관],"서울병원"),_xlpm.v_b4,SUMIFS(상세표[22~06시],상세표[사번키],_xlpm.v_u,상세표[반영월],대상월키,상세표[반영 기관],"서울병원"),_xlpm.v_a,CHOOSE({1,2,3,4,5,6,7,8,9,10,11,12,13,14,15,16,17},_xlfn.XLOOKUP(_xlpm.v_u,합계표[사번키],합계표[사번]&amp;"",""),_xlfn.XLOOKUP(_xlpm.v_u,합계표[사번키],합계표[성명]&amp;"",""),_xlfn.XLOOKUP(_xlpm.v_u,합계표[사번키],합계표[부서]&amp;"",""),_xlfn.XLOOKUP(_xlpm.v_u,합계표[사번키],합계표[직위(통합)]&amp;"",""),_xlpm.v_t,_xlpm.v_d,_xlpm.v_ok,_xlpm.v_out,_xlpm.v_in,_xlpm.v_r,_xlpm.v_h,_xlpm.v_s,_xlpm.v_b1,_xlpm.v_b2,_xlpm.v_b3,_xlpm.v_b4,_xlpm.v_b1+_xlpm.v_b2+_xlpm.v_b3+_xlpm.v_b4),IF(COUNTIF(합계표[사번키],"?*")=0,"시간외 합계 없음",_xlpm.v_a))</f>
        <v/>
      </c>
      <c r="S6" cm="1">
        <f t="array" ref="S6">_xlfn.LET(_xlpm.v_m,(상세표[반영월]=대상월키)*ISNA(_xlfn.XMATCH(상세표[사번키],합계표[사번키])),IF(SUM(_xlpm.v_m)=0,"없음",_xlfn.LET(_xlpm.v_u,_xlfn.UNIQUE(IF(ROWS(상세표[사번])=1,IF(AND(_xlpm.v_m=1),상세표[사번키],""),_xlfn._xlws.FILTER(상세표[사번키],_xlpm.v_m=1))),CHOOSE({1,2,3},_xlfn.XLOOKUP(_xlpm.v_u,상세표[사번키],상세표[사번]&amp;""),_xlfn.XLOOKUP(_xlpm.v_u,상세표[사번키],상세표[성명]&amp;""),SUMIFS(상세표[기록 시간외],상세표[사번키],_xlpm.v_u,상세표[반영월],대상월키)))))</f>
        <v/>
      </c>
    </row>
  </sheetData>
  <conditionalFormatting sqref="H3">
    <cfRule type="expression" priority="1" dxfId="0">
      <formula>H3&gt;0</formula>
    </cfRule>
  </conditionalFormatting>
  <conditionalFormatting sqref="L3">
    <cfRule type="expression" priority="2" dxfId="0">
      <formula>L3&gt;0</formula>
    </cfRule>
  </conditionalFormatting>
  <conditionalFormatting sqref="J3">
    <cfRule type="expression" priority="3" dxfId="4">
      <formula>J3&gt;0</formula>
    </cfRule>
  </conditionalFormatting>
  <conditionalFormatting sqref="A6:Q20005">
    <cfRule type="expression" priority="4" dxfId="5">
      <formula>$L6="비해당"</formula>
    </cfRule>
    <cfRule type="expression" priority="5" dxfId="6">
      <formula>LEFT($L6,7)="기관명단에 없"</formula>
    </cfRule>
  </conditionalFormatting>
  <conditionalFormatting sqref="L6:L20005">
    <cfRule type="expression" priority="6" dxfId="0">
      <formula>LEFT($L6,6)="대상월 기관"</formula>
    </cfRule>
    <cfRule type="expression" priority="9" dxfId="7">
      <formula>$L6="해당"</formula>
    </cfRule>
  </conditionalFormatting>
  <conditionalFormatting sqref="G6:G20005">
    <cfRule type="expression" priority="7" dxfId="8">
      <formula>LEFT($G6,3)="불일치"</formula>
    </cfRule>
  </conditionalFormatting>
  <conditionalFormatting sqref="H6:I20005">
    <cfRule type="expression" priority="8" dxfId="9">
      <formula>AND(ISNUMBER(H6),H6&lt;&gt;0)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S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16" customWidth="1" min="4" max="4"/>
    <col width="8" customWidth="1" min="5" max="5"/>
    <col width="9" customWidth="1" min="6" max="6"/>
    <col width="9" customWidth="1" min="7" max="7"/>
    <col width="3" customWidth="1" min="8" max="8"/>
    <col width="10" customWidth="1" min="9" max="9"/>
    <col width="8" customWidth="1" min="10" max="10"/>
    <col width="10" customWidth="1" min="11" max="11"/>
    <col width="11" customWidth="1" min="12" max="12"/>
    <col width="16" customWidth="1" min="13" max="13"/>
    <col width="16" customWidth="1" min="14" max="14"/>
    <col width="7" customWidth="1" min="15" max="15"/>
    <col width="7" customWidth="1" min="16" max="16"/>
    <col width="7" customWidth="1" min="17" max="17"/>
    <col width="7" customWidth="1" min="18" max="18"/>
    <col width="8" customWidth="1" min="19" max="19"/>
  </cols>
  <sheetData>
    <row r="1">
      <c r="A1" s="1" t="inlineStr">
        <is>
          <t>기관명단에 없는 시간외 근무자 — 다른 병원으로 발송</t>
        </is>
      </c>
    </row>
    <row r="2">
      <c r="A2" s="4" t="inlineStr">
        <is>
          <t>※ 자동 목록(입력 금지). 대상월에 기록(또는 반영)이 있는데 입력_기관명단에 사번이 한 번도 없는 사람입니다(같은 사번은 직위가 달라도 한 사람). 왼쪽은 사람별 합계, 오른쪽은 발송할 상세 기록입니다. 우리 기관 사람인데 여기 나오면 기관명단을 확인하세요.</t>
        </is>
      </c>
    </row>
    <row r="3">
      <c r="A3" s="14" t="inlineStr">
        <is>
          <t>발송 대상 인원</t>
        </is>
      </c>
      <c r="B3" cm="1" s="15">
        <f t="array" ref="B3">IF(SUMPRODUCT((상세표[기관명단]="없음")*((상세표[기록월]=대상월키)+(상세표[반영월]=대상월키)&gt;0))=0,0,ROWS(_xlfn.UNIQUE(IF(ROWS(상세표[사번])=1,IF(AND((상세표[기관명단]="없음")*((상세표[기록월]=대상월키)+(상세표[반영월]=대상월키)&gt;0)=1),상세표[사번키],""),_xlfn._xlws.FILTER(상세표[사번키],(상세표[기관명단]="없음")*((상세표[기록월]=대상월키)+(상세표[반영월]=대상월키)&gt;0)=1)))))</f>
        <v/>
      </c>
      <c r="C3" s="14" t="inlineStr">
        <is>
          <t>발송 기록 수</t>
        </is>
      </c>
      <c r="D3" s="15">
        <f>SUMPRODUCT((상세표[기관명단]="없음")*((상세표[기록월]=대상월키)+(상세표[반영월]=대상월키)&gt;0))</f>
        <v/>
      </c>
    </row>
    <row r="4"/>
    <row r="5" ht="30" customHeight="1">
      <c r="A5" s="16" t="inlineStr">
        <is>
          <t>사번</t>
        </is>
      </c>
      <c r="B5" s="16" t="inlineStr">
        <is>
          <t>성명</t>
        </is>
      </c>
      <c r="C5" s="16" t="inlineStr">
        <is>
          <t>부서</t>
        </is>
      </c>
      <c r="D5" s="16" t="inlineStr">
        <is>
          <t>직위</t>
        </is>
      </c>
      <c r="E5" s="16" t="inlineStr">
        <is>
          <t>대상월 기록 수</t>
        </is>
      </c>
      <c r="F5" s="16" t="inlineStr">
        <is>
          <t>대상월 상세 시간</t>
        </is>
      </c>
      <c r="G5" s="16" t="inlineStr">
        <is>
          <t>시스템 합계</t>
        </is>
      </c>
      <c r="I5" s="16" t="inlineStr">
        <is>
          <t>사번</t>
        </is>
      </c>
      <c r="J5" s="16" t="inlineStr">
        <is>
          <t>성명</t>
        </is>
      </c>
      <c r="K5" s="16" t="inlineStr">
        <is>
          <t>직위</t>
        </is>
      </c>
      <c r="L5" s="16" t="inlineStr">
        <is>
          <t>근무일자</t>
        </is>
      </c>
      <c r="M5" s="16" t="inlineStr">
        <is>
          <t>시작</t>
        </is>
      </c>
      <c r="N5" s="16" t="inlineStr">
        <is>
          <t>종료</t>
        </is>
      </c>
      <c r="O5" s="16" t="inlineStr">
        <is>
          <t>06~07시</t>
        </is>
      </c>
      <c r="P5" s="16" t="inlineStr">
        <is>
          <t>07~18시</t>
        </is>
      </c>
      <c r="Q5" s="16" t="inlineStr">
        <is>
          <t>18~22시</t>
        </is>
      </c>
      <c r="R5" s="16" t="inlineStr">
        <is>
          <t>22~06시</t>
        </is>
      </c>
      <c r="S5" s="16" t="inlineStr">
        <is>
          <t>시간외 합계</t>
        </is>
      </c>
    </row>
    <row r="6">
      <c r="A6" cm="1">
        <f t="array" ref="A6">IF(SUMPRODUCT((상세표[기관명단]="없음")*((상세표[기록월]=대상월키)+(상세표[반영월]=대상월키)&gt;0))=0,"발송 대상 없음",_xlfn.LET(_xlpm.v_u,_xlfn.UNIQUE(IF(ROWS(상세표[사번])=1,IF(AND((상세표[기관명단]="없음")*((상세표[기록월]=대상월키)+(상세표[반영월]=대상월키)&gt;0)=1),상세표[사번키],""),_xlfn._xlws.FILTER(상세표[사번키],(상세표[기관명단]="없음")*((상세표[기록월]=대상월키)+(상세표[반영월]=대상월키)&gt;0)=1))),_xlpm.v_p,_xlfn.XLOOKUP(_xlpm.v_u,합계표[사번키],합계표[직위(통합)],""),CHOOSE({1,2,3,4,5,6,7},_xlfn.XLOOKUP(_xlpm.v_u,상세표[사번키],상세표[사번]&amp;""),_xlfn.XLOOKUP(_xlpm.v_u,상세표[사번키],상세표[성명]&amp;""),_xlfn.XLOOKUP(_xlpm.v_u,상세표[사번키],상세표[부서]&amp;""),IF(_xlpm.v_p="",_xlfn.XLOOKUP(_xlpm.v_u,상세표[사번키],상세표[직위]&amp;""),_xlpm.v_p),COUNTIFS(상세표[사번키],_xlpm.v_u,상세표[기록월],대상월키),SUMIFS(상세표[기록 시간외],상세표[사번키],_xlpm.v_u,상세표[기록월],대상월키),SUMIFS(합계표[시스템 합계],합계표[사번키],_xlpm.v_u))))</f>
        <v/>
      </c>
      <c r="I6" cm="1">
        <f t="array" ref="I6">IF(SUMPRODUCT((상세표[기관명단]="없음")*((상세표[기록월]=대상월키)+(상세표[반영월]=대상월키)&gt;0))=0,"",_xlfn._xlws.SORT(IF(ROWS(상세표[사번])=1,IF(AND((상세표[기관명단]="없음")*((상세표[기록월]=대상월키)+(상세표[반영월]=대상월키)&gt;0)=1),CHOOSE({1,2,3,4,5,6,7,8,9,10,11},상세표[사번]&amp;"",상세표[성명],상세표[직위],상세표[근무일자]&amp;"",IF(ISNUMBER(상세표[시작]),TEXT(상세표[시작],"yyyy-mm-dd hh:mm"),상세표[시작]&amp;""),IF(ISNUMBER(상세표[종료]),TEXT(상세표[종료],"yyyy-mm-dd hh:mm"),상세표[종료]&amp;""),상세표[06~07시],상세표[07~18시],상세표[18~22시],상세표[22~06시],상세표[기록 시간외]),""),_xlfn._xlws.FILTER(CHOOSE({1,2,3,4,5,6,7,8,9,10,11},상세표[사번]&amp;"",상세표[성명],상세표[직위],상세표[근무일자]&amp;"",IF(ISNUMBER(상세표[시작]),TEXT(상세표[시작],"yyyy-mm-dd hh:mm"),상세표[시작]&amp;""),IF(ISNUMBER(상세표[종료]),TEXT(상세표[종료],"yyyy-mm-dd hh:mm"),상세표[종료]&amp;""),상세표[06~07시],상세표[07~18시],상세표[18~22시],상세표[22~06시],상세표[기록 시간외]),(상세표[기관명단]="없음")*((상세표[기록월]=대상월키)+(상세표[반영월]=대상월키)&gt;0)=1)),{1,5}))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" customWidth="1" min="3" max="3"/>
    <col width="14" customWidth="1" min="4" max="4"/>
  </cols>
  <sheetData>
    <row r="1">
      <c r="A1" s="5" t="inlineStr">
        <is>
          <t>설정값 (노란 칸만 수정)</t>
        </is>
      </c>
      <c r="B1" s="5" t="inlineStr">
        <is>
          <t>값</t>
        </is>
      </c>
    </row>
    <row r="2">
      <c r="A2" s="17" t="inlineStr">
        <is>
          <t>연속으로 볼 최대 공백(분)</t>
        </is>
      </c>
      <c r="B2" s="18" t="n">
        <v>0</v>
      </c>
    </row>
    <row r="3">
      <c r="A3" s="4" t="inlineStr">
        <is>
          <t>※ 0이면 앞 근무의 종료 시각과 다음 근무의 시작 시각이 같을 때만 이어진 근무로 봅니다. 예: 10 → 10분 이내 공백도 연속.</t>
        </is>
      </c>
    </row>
    <row r="4">
      <c r="A4" s="17" t="inlineStr">
        <is>
          <t>대상월(급여 처리할 달, 1일)</t>
        </is>
      </c>
      <c r="B4" s="19">
        <f>DATE(YEAR(TODAY()),MONTH(TODAY())-1,1)</f>
        <v/>
      </c>
    </row>
    <row r="5">
      <c r="A5" s="3" t="inlineStr">
        <is>
          <t>공휴일 (주말·휴일 포함 여부 판단에 사용 — 표 아래에 계속 추가, 2027년은 확정 후 추가)</t>
        </is>
      </c>
      <c r="D5" s="3" t="inlineStr">
        <is>
          <t>구리와 오가면 '익월초 급여 반영'으로 표시할 기관</t>
        </is>
      </c>
    </row>
    <row r="6">
      <c r="A6" s="5" t="inlineStr">
        <is>
          <t>날짜</t>
        </is>
      </c>
      <c r="B6" s="5" t="inlineStr">
        <is>
          <t>이름</t>
        </is>
      </c>
      <c r="D6" s="5" t="inlineStr">
        <is>
          <t>기관</t>
        </is>
      </c>
    </row>
    <row r="7">
      <c r="A7" s="20" t="n">
        <v>46023</v>
      </c>
      <c r="B7" s="7" t="inlineStr">
        <is>
          <t>신정</t>
        </is>
      </c>
      <c r="D7" s="7" t="inlineStr">
        <is>
          <t>인천병원</t>
        </is>
      </c>
    </row>
    <row r="8">
      <c r="A8" s="20" t="n">
        <v>46069</v>
      </c>
      <c r="B8" s="7" t="inlineStr">
        <is>
          <t>설날 연휴</t>
        </is>
      </c>
      <c r="D8" s="7" t="inlineStr">
        <is>
          <t>오산병원</t>
        </is>
      </c>
    </row>
    <row r="9">
      <c r="A9" s="20" t="n">
        <v>46070</v>
      </c>
      <c r="B9" s="7" t="inlineStr">
        <is>
          <t>설날</t>
        </is>
      </c>
      <c r="D9" s="7" t="inlineStr">
        <is>
          <t>창원병원</t>
        </is>
      </c>
    </row>
    <row r="10">
      <c r="A10" s="20" t="n">
        <v>46071</v>
      </c>
      <c r="B10" s="7" t="inlineStr">
        <is>
          <t>설날 연휴</t>
        </is>
      </c>
      <c r="D10" s="7" t="inlineStr">
        <is>
          <t>제주병원</t>
        </is>
      </c>
    </row>
    <row r="11">
      <c r="A11" s="20" t="n">
        <v>46082</v>
      </c>
      <c r="B11" s="7" t="inlineStr">
        <is>
          <t>삼일절</t>
        </is>
      </c>
    </row>
    <row r="12">
      <c r="A12" s="20" t="n">
        <v>46083</v>
      </c>
      <c r="B12" s="7" t="inlineStr">
        <is>
          <t>대체공휴일(삼일절)</t>
        </is>
      </c>
    </row>
    <row r="13">
      <c r="A13" s="20" t="n">
        <v>46147</v>
      </c>
      <c r="B13" s="7" t="inlineStr">
        <is>
          <t>어린이날</t>
        </is>
      </c>
    </row>
    <row r="14">
      <c r="A14" s="20" t="n">
        <v>46166</v>
      </c>
      <c r="B14" s="7" t="inlineStr">
        <is>
          <t>부처님오신날</t>
        </is>
      </c>
    </row>
    <row r="15">
      <c r="A15" s="20" t="n">
        <v>46167</v>
      </c>
      <c r="B15" s="7" t="inlineStr">
        <is>
          <t>대체공휴일(부처님오신날)</t>
        </is>
      </c>
    </row>
    <row r="16">
      <c r="A16" s="20" t="n">
        <v>46176</v>
      </c>
      <c r="B16" s="7" t="inlineStr">
        <is>
          <t>전국동시지방선거</t>
        </is>
      </c>
    </row>
    <row r="17">
      <c r="A17" s="20" t="n">
        <v>46179</v>
      </c>
      <c r="B17" s="7" t="inlineStr">
        <is>
          <t>현충일</t>
        </is>
      </c>
    </row>
    <row r="18">
      <c r="A18" s="20" t="n">
        <v>46249</v>
      </c>
      <c r="B18" s="7" t="inlineStr">
        <is>
          <t>광복절</t>
        </is>
      </c>
    </row>
    <row r="19">
      <c r="A19" s="20" t="n">
        <v>46251</v>
      </c>
      <c r="B19" s="7" t="inlineStr">
        <is>
          <t>대체공휴일(광복절)</t>
        </is>
      </c>
    </row>
    <row r="20">
      <c r="A20" s="20" t="n">
        <v>46289</v>
      </c>
      <c r="B20" s="7" t="inlineStr">
        <is>
          <t>추석 연휴</t>
        </is>
      </c>
    </row>
    <row r="21">
      <c r="A21" s="20" t="n">
        <v>46290</v>
      </c>
      <c r="B21" s="7" t="inlineStr">
        <is>
          <t>추석</t>
        </is>
      </c>
    </row>
    <row r="22">
      <c r="A22" s="20" t="n">
        <v>46291</v>
      </c>
      <c r="B22" s="7" t="inlineStr">
        <is>
          <t>추석 연휴</t>
        </is>
      </c>
    </row>
    <row r="23">
      <c r="A23" s="20" t="n">
        <v>46298</v>
      </c>
      <c r="B23" s="7" t="inlineStr">
        <is>
          <t>개천절</t>
        </is>
      </c>
    </row>
    <row r="24">
      <c r="A24" s="20" t="n">
        <v>46300</v>
      </c>
      <c r="B24" s="7" t="inlineStr">
        <is>
          <t>대체공휴일(개천절)</t>
        </is>
      </c>
    </row>
    <row r="25">
      <c r="A25" s="20" t="n">
        <v>46304</v>
      </c>
      <c r="B25" s="7" t="inlineStr">
        <is>
          <t>한글날</t>
        </is>
      </c>
    </row>
    <row r="26">
      <c r="A26" s="20" t="n">
        <v>46381</v>
      </c>
      <c r="B26" s="7" t="inlineStr">
        <is>
          <t>성탄절</t>
        </is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2026-10-06T06:50:10Z</dcterms:created>
  <dcterms:modified xmlns:dcterms="http://purl.org/dc/terms/" xmlns:xsi="http://www.w3.org/2001/XMLSchema-instance" xsi:type="dcterms:W3CDTF">2026-10-06T06:50:10Z</dcterms:modified>
</cp:coreProperties>
</file>